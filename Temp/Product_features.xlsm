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E:\VLAD\IT\DAN_IT\FEM3-FINAL-PROJECT\Temp\"/>
    </mc:Choice>
  </mc:AlternateContent>
  <xr:revisionPtr revIDLastSave="0" documentId="8_{5231E185-C38C-4E14-8CAC-D2FBAFD594B7}" xr6:coauthVersionLast="45" xr6:coauthVersionMax="45" xr10:uidLastSave="{00000000-0000-0000-0000-000000000000}"/>
  <bookViews>
    <workbookView xWindow="-108" yWindow="-108" windowWidth="23256" windowHeight="12576" firstSheet="1" activeTab="1" xr2:uid="{904C5962-C68D-4EDD-B96F-336E3766755B}"/>
  </bookViews>
  <sheets>
    <sheet name="Sheet1" sheetId="1" state="hidden"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0" i="2" l="1"/>
  <c r="H29" i="2"/>
  <c r="H28" i="2"/>
  <c r="H27" i="2"/>
  <c r="H26" i="2"/>
  <c r="H25" i="2"/>
  <c r="H24" i="2"/>
  <c r="H23" i="2"/>
  <c r="H22" i="2"/>
  <c r="H21" i="2"/>
  <c r="H5" i="2"/>
  <c r="H6" i="2"/>
  <c r="H7" i="2"/>
  <c r="H8" i="2"/>
  <c r="H9" i="2"/>
  <c r="H10" i="2"/>
  <c r="H11" i="2"/>
  <c r="H12" i="2"/>
  <c r="H13" i="2"/>
  <c r="H14" i="2"/>
  <c r="H15" i="2"/>
  <c r="H16" i="2"/>
  <c r="H17" i="2"/>
  <c r="H4" i="2"/>
  <c r="I4" i="2" s="1"/>
  <c r="I5" i="2" l="1"/>
  <c r="I6" i="2" s="1"/>
  <c r="I7" i="2" s="1"/>
  <c r="I8" i="2" s="1"/>
  <c r="I9" i="2" s="1"/>
  <c r="I10" i="2" s="1"/>
  <c r="I11" i="2" s="1"/>
  <c r="I12" i="2" s="1"/>
  <c r="I13" i="2" s="1"/>
  <c r="I14" i="2" s="1"/>
  <c r="I15" i="2" s="1"/>
  <c r="I16" i="2" s="1"/>
  <c r="I17" i="2" s="1"/>
  <c r="I20" i="2" s="1"/>
  <c r="I21" i="2" l="1"/>
  <c r="I22" i="2" s="1"/>
  <c r="I23" i="2" s="1"/>
  <c r="I24" i="2" s="1"/>
  <c r="I25" i="2" s="1"/>
  <c r="I26" i="2" s="1"/>
  <c r="I27" i="2" s="1"/>
  <c r="I28" i="2" s="1"/>
  <c r="I29" i="2" s="1"/>
  <c r="I30" i="2" s="1"/>
  <c r="I3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Межерицкий Владислав</author>
  </authors>
  <commentList>
    <comment ref="G4" authorId="0" shapeId="0" xr:uid="{8B7E262C-8D21-4622-B995-AF52201AFB95}">
      <text>
        <r>
          <rPr>
            <b/>
            <sz val="9"/>
            <color indexed="81"/>
            <rFont val="Tahoma"/>
            <family val="2"/>
            <charset val="204"/>
          </rPr>
          <t>Межерицкий Владислав:</t>
        </r>
        <r>
          <rPr>
            <sz val="9"/>
            <color indexed="81"/>
            <rFont val="Tahoma"/>
            <family val="2"/>
            <charset val="204"/>
          </rPr>
          <t xml:space="preserve">
start with '
Example:
'true or 'false</t>
        </r>
      </text>
    </comment>
  </commentList>
</comments>
</file>

<file path=xl/sharedStrings.xml><?xml version="1.0" encoding="utf-8"?>
<sst xmlns="http://schemas.openxmlformats.org/spreadsheetml/2006/main" count="262" uniqueCount="125">
  <si>
    <t>SKU:</t>
  </si>
  <si>
    <t>18.7587.6040</t>
  </si>
  <si>
    <t>EAN</t>
  </si>
  <si>
    <t>Brand</t>
  </si>
  <si>
    <t>WMF</t>
  </si>
  <si>
    <t>Collection</t>
  </si>
  <si>
    <t>Black Line</t>
  </si>
  <si>
    <t>Size sets</t>
  </si>
  <si>
    <t>1-pc.</t>
  </si>
  <si>
    <t>Material</t>
  </si>
  <si>
    <t>Cromargan® 18/10 stainless steel</t>
  </si>
  <si>
    <t>Material property</t>
  </si>
  <si>
    <t>Stainless steel, polished</t>
  </si>
  <si>
    <t>Production</t>
  </si>
  <si>
    <t>Engineered in Germany</t>
  </si>
  <si>
    <t>Length (cm)</t>
  </si>
  <si>
    <t>Color</t>
  </si>
  <si>
    <t>black, stainless steel</t>
  </si>
  <si>
    <t>Care</t>
  </si>
  <si>
    <t>Dishwasher safe</t>
  </si>
  <si>
    <t>Designer</t>
  </si>
  <si>
    <t>Metz &amp; Kindler Produktdesign</t>
  </si>
  <si>
    <t>Design Award</t>
  </si>
  <si>
    <t>red dot award Design Zentrum NRW 2004</t>
  </si>
  <si>
    <t>21.1030.2247</t>
  </si>
  <si>
    <t>Silit</t>
  </si>
  <si>
    <t>Belluna</t>
  </si>
  <si>
    <t>Scope of delivery</t>
  </si>
  <si>
    <t>1x frying pan</t>
  </si>
  <si>
    <t>Aluminium</t>
  </si>
  <si>
    <t>coated, PFOA free</t>
  </si>
  <si>
    <t>Building material</t>
  </si>
  <si>
    <t>Keramik, Kunststoff</t>
  </si>
  <si>
    <t>Product properties</t>
  </si>
  <si>
    <t>Easy to clean and care for, Regular tan through optimal heat conduction, Wide pouring rim for drip-free pouring., Plastic handle</t>
  </si>
  <si>
    <t>Induction-compatible</t>
  </si>
  <si>
    <t>Stove type</t>
  </si>
  <si>
    <t>suitable for glass-ceramic, gas, electric and induction stoves</t>
  </si>
  <si>
    <t>Diameter (cm)</t>
  </si>
  <si>
    <t>Product Description</t>
  </si>
  <si>
    <t>Silitan non stick coating
Long-lasting ceramic coating
Induction-suitable aluminum bottom
Plastic handle with flame guard
Wide pouring rim</t>
  </si>
  <si>
    <t>Ob Hobby- oder Profikoch, ob Spiegelei mit Speck oder Haute Cuisine: Der Klassiker unter den Pfannen darf in keiner Küche fehlen. Die Silit Stielpfannen sind aus hochwertigen Materialien gefertigt und verfügen über beste Wärmeeigenschaften. Einfach in der Handhabung, eignen sie sich zur Zubereitung verschiedenster Gerichte und brauchen dabei stets nur wenig Fett zum Anbraten.
Die Silit Pfannen-Kollektion Belluna macht den Küchenalltag ein Stückchen bunter und das Braten schneller, gleichmäßiger und besser. Dabei verzaubert die langlebige Außenbeschichtung aus Keramik gleich auf den ersten Blick in den Farben Blau, Grün und Rosé mit einem markanten Struktureffekt sowie einer sehr einfachen Reinigung. Im Pfanneninneren begeistert die PFOA-freie Silitan Antihaftbeschichtung mit besten Antihafteigenschaften - ob beim fettarmen Zubereiten von Gemüse, dem schonenden Braten delikater Fischfilets oder dem kurzen, heißen Angrillen saftiger Steaks. Und dies selbstverständlich auf jedem Herd, auch bei Induktion.</t>
  </si>
  <si>
    <t>Highlights</t>
  </si>
  <si>
    <t>SKU</t>
  </si>
  <si>
    <t>article code</t>
  </si>
  <si>
    <t>EAN code (штрих код товара)</t>
  </si>
  <si>
    <t>enabled</t>
  </si>
  <si>
    <t>required</t>
  </si>
  <si>
    <t>Boolean</t>
  </si>
  <si>
    <t>by user</t>
  </si>
  <si>
    <t>name</t>
  </si>
  <si>
    <t>String</t>
  </si>
  <si>
    <t>Name of product to show on store interface</t>
  </si>
  <si>
    <t>currentPrice</t>
  </si>
  <si>
    <t>Number</t>
  </si>
  <si>
    <t>Price to buy product</t>
  </si>
  <si>
    <t>previousPrice</t>
  </si>
  <si>
    <t>optional</t>
  </si>
  <si>
    <t>categories</t>
  </si>
  <si>
    <t>A low level category to which product is assigned</t>
  </si>
  <si>
    <t>imageUrls</t>
  </si>
  <si>
    <t>json</t>
  </si>
  <si>
    <t>Array of strings with url paths to product images</t>
  </si>
  <si>
    <t>quantity</t>
  </si>
  <si>
    <t>color</t>
  </si>
  <si>
    <t>-</t>
  </si>
  <si>
    <t>sizes</t>
  </si>
  <si>
    <t>productUrl</t>
  </si>
  <si>
    <t>brand</t>
  </si>
  <si>
    <t>manufacturer</t>
  </si>
  <si>
    <t>manufacturerCountry</t>
  </si>
  <si>
    <t>seller</t>
  </si>
  <si>
    <t>date</t>
  </si>
  <si>
    <t>Date</t>
  </si>
  <si>
    <t>by system</t>
  </si>
  <si>
    <t>Property</t>
  </si>
  <si>
    <t>Type</t>
  </si>
  <si>
    <t>Data type</t>
  </si>
  <si>
    <t>Generated</t>
  </si>
  <si>
    <t>Description</t>
  </si>
  <si>
    <r>
      <t>Default value - </t>
    </r>
    <r>
      <rPr>
        <sz val="12"/>
        <color theme="1"/>
        <rFont val="Consolas"/>
        <family val="3"/>
        <charset val="204"/>
      </rPr>
      <t>true</t>
    </r>
  </si>
  <si>
    <r>
      <t>default </t>
    </r>
    <r>
      <rPr>
        <sz val="12"/>
        <color theme="1"/>
        <rFont val="Consolas"/>
        <family val="3"/>
        <charset val="204"/>
      </rPr>
      <t>Date.now()</t>
    </r>
  </si>
  <si>
    <t>Will we use it?</t>
  </si>
  <si>
    <t>yes</t>
  </si>
  <si>
    <t>Quantity of product in store. default = 0</t>
  </si>
  <si>
    <t>???</t>
  </si>
  <si>
    <t>no</t>
  </si>
  <si>
    <t>myCustomParam:</t>
  </si>
  <si>
    <t>штрих код товара</t>
  </si>
  <si>
    <t>how many pieces in set</t>
  </si>
  <si>
    <t>setSize</t>
  </si>
  <si>
    <t>care</t>
  </si>
  <si>
    <t>material</t>
  </si>
  <si>
    <t>collection</t>
  </si>
  <si>
    <t>capacity</t>
  </si>
  <si>
    <t>in liters (for glasses)</t>
  </si>
  <si>
    <t>power</t>
  </si>
  <si>
    <t>voltage</t>
  </si>
  <si>
    <t>for home appliance</t>
  </si>
  <si>
    <t>in our case can be different metrics (diameter, length, width etc)</t>
  </si>
  <si>
    <t>Сrossed out price (if promotion)</t>
  </si>
  <si>
    <t>"</t>
  </si>
  <si>
    <t>{</t>
  </si>
  <si>
    <t>fs</t>
  </si>
  <si>
    <t>}</t>
  </si>
  <si>
    <t>VALUE</t>
  </si>
  <si>
    <t>tech</t>
  </si>
  <si>
    <t>sad</t>
  </si>
  <si>
    <t>aa</t>
  </si>
  <si>
    <t>, "myCustomParam": {</t>
  </si>
  <si>
    <t>} }</t>
  </si>
  <si>
    <t>[]</t>
  </si>
  <si>
    <t>true</t>
  </si>
  <si>
    <t>asddas</t>
  </si>
  <si>
    <t>*</t>
  </si>
  <si>
    <t>Step 1</t>
  </si>
  <si>
    <t>Step 2</t>
  </si>
  <si>
    <t>=&gt;</t>
  </si>
  <si>
    <t>JSON format =&gt;</t>
  </si>
  <si>
    <t>aaaaaaaaaaaaaaaaaaaaaaaaaaaaaaaaaaaaaaaa</t>
  </si>
  <si>
    <t>productDescription</t>
  </si>
  <si>
    <t>The WMF cookware series and pans made of the innovative material Fusiontec guarantee a new, very special excellence in terms of quality, design and functionality. This is also the case with the WMF Fusiontec Perfect Premium pressure cooker, which is produced with great attention to detail with its modern, extraordinary design in numerous manufacturing steps. When this process is completed, it is scrutinized to ensure high quality and safety.  Fusiontec is Made in Germany par excellence. The unique firing and hardening process fuses a series of ceramic layers onto a steel core, creating a resilient material with a non-porous sealed surface. This combination makes the first-class utilisation properties of Fusiontec cookware and frying pans stand out: Their smooth surface is cut and abrasion-resistant, perfectly suitable for low-fat cooking and easy to clean. The extremely low-maintenance and nearly indestructible material is also visually attractive. It looks elegant, trendy and modern. In other words, as excellent as it really is.</t>
  </si>
  <si>
    <t>CELLS TO BE FILLED</t>
  </si>
  <si>
    <t>DO NOT TOUCH</t>
  </si>
  <si>
    <t>{"enabled": "true", "name": "asddas", "currentPrice": "100", "previousPrice": "200", "categories": "fs", "imageUrls": "[]", "quantity": "5", "color": "aaaaaaaaaaaaaaaaaaaaaaaaaaaaaaaaaaaaaaaa", "myCustomParam": {"EAN": "123456", "collection": "sad", "care": "aa", "productDescription": "The WMF cookware series and pans made of the innovative material Fusiontec guarantee a new, very special excellence in terms of quality, design and functionality. This is also the case with the WMF Fusiontec Perfect Premium pressure cooker, which is produced with great attention to detail with its modern, extraordinary design in numerous manufacturing steps. When this process is completed, it is scrutinized to ensure high quality and safety.  Fusiontec is Made in Germany par excellence. The unique firing and hardening process fuses a series of ceramic layers onto a steel core, creating a resilient material with a non-porous sealed surface. This combination makes the first-class utilisation properties of Fusiontec cookware and frying pans stand out: Their smooth surface is cut and abrasion-resistant, perfectly suitable for low-fat cooking and easy to clean. The extremely low-maintenance and nearly indestructible material is also visually attractive. It looks elegant, trendy and modern. In other words, as excellent as it really 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</si>
</sst>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charset val="204"/>
      <scheme val="minor"/>
    </font>
    <font>
      <sz val="10"/>
      <color rgb="FF1A1A1A"/>
      <name val="Arial"/>
      <family val="2"/>
      <charset val="204"/>
    </font>
    <font>
      <sz val="12"/>
      <color theme="1"/>
      <name val="Calibri"/>
      <family val="2"/>
      <charset val="204"/>
      <scheme val="minor"/>
    </font>
    <font>
      <sz val="12"/>
      <color theme="1"/>
      <name val="Consolas"/>
      <family val="3"/>
      <charset val="204"/>
    </font>
    <font>
      <sz val="12"/>
      <color theme="1"/>
      <name val="Arial"/>
      <family val="2"/>
      <charset val="204"/>
    </font>
    <font>
      <b/>
      <sz val="12"/>
      <color theme="1"/>
      <name val="Calibri"/>
      <family val="2"/>
      <charset val="204"/>
      <scheme val="minor"/>
    </font>
    <font>
      <b/>
      <sz val="12"/>
      <color theme="0"/>
      <name val="Calibri"/>
      <family val="2"/>
      <charset val="204"/>
      <scheme val="minor"/>
    </font>
    <font>
      <b/>
      <sz val="12"/>
      <color theme="0"/>
      <name val="Arial"/>
      <family val="2"/>
      <charset val="204"/>
    </font>
    <font>
      <sz val="9"/>
      <color indexed="81"/>
      <name val="Tahoma"/>
      <family val="2"/>
      <charset val="204"/>
    </font>
    <font>
      <b/>
      <sz val="9"/>
      <color indexed="81"/>
      <name val="Tahoma"/>
      <family val="2"/>
      <charset val="204"/>
    </font>
    <font>
      <sz val="12"/>
      <color rgb="FFFF0000"/>
      <name val="Calibri"/>
      <family val="2"/>
      <charset val="204"/>
      <scheme val="minor"/>
    </font>
    <font>
      <b/>
      <sz val="20"/>
      <color rgb="FFFF0000"/>
      <name val="Calibri"/>
      <family val="2"/>
      <charset val="204"/>
      <scheme val="minor"/>
    </font>
    <font>
      <sz val="11"/>
      <color rgb="FF000000"/>
      <name val="Calibri"/>
      <family val="2"/>
      <charset val="204"/>
    </font>
  </fonts>
  <fills count="9">
    <fill>
      <patternFill patternType="none"/>
    </fill>
    <fill>
      <patternFill patternType="gray125"/>
    </fill>
    <fill>
      <patternFill patternType="solid">
        <fgColor rgb="FFFFFFFF"/>
        <bgColor indexed="64"/>
      </patternFill>
    </fill>
    <fill>
      <patternFill patternType="solid">
        <fgColor rgb="FFDBDFE0"/>
        <bgColor indexed="64"/>
      </patternFill>
    </fill>
    <fill>
      <patternFill patternType="solid">
        <fgColor rgb="FFFFFF00"/>
        <bgColor indexed="64"/>
      </patternFill>
    </fill>
    <fill>
      <patternFill patternType="solid">
        <fgColor theme="4" tint="-0.249977111117893"/>
        <bgColor indexed="64"/>
      </patternFill>
    </fill>
    <fill>
      <patternFill patternType="solid">
        <fgColor theme="9" tint="0.59999389629810485"/>
        <bgColor indexed="64"/>
      </patternFill>
    </fill>
    <fill>
      <patternFill patternType="gray0625"/>
    </fill>
    <fill>
      <patternFill patternType="solid">
        <fgColor theme="4" tint="0.39997558519241921"/>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rgb="FFFF0000"/>
      </left>
      <right style="thick">
        <color rgb="FFFF0000"/>
      </right>
      <top style="thick">
        <color rgb="FFFF0000"/>
      </top>
      <bottom style="thick">
        <color rgb="FFFF0000"/>
      </bottom>
      <diagonal/>
    </border>
  </borders>
  <cellStyleXfs count="1">
    <xf numFmtId="0" fontId="0" fillId="0" borderId="0"/>
  </cellStyleXfs>
  <cellXfs count="35">
    <xf numFmtId="0" fontId="0" fillId="0" borderId="0" xfId="0"/>
    <xf numFmtId="0" fontId="0" fillId="0" borderId="0" xfId="0" applyAlignment="1"/>
    <xf numFmtId="0" fontId="1" fillId="4" borderId="0" xfId="0" applyFont="1" applyFill="1" applyBorder="1" applyAlignment="1">
      <alignment vertical="top"/>
    </xf>
    <xf numFmtId="0" fontId="1" fillId="2" borderId="0" xfId="0" applyFont="1" applyFill="1" applyBorder="1" applyAlignment="1">
      <alignment horizontal="right" vertical="top"/>
    </xf>
    <xf numFmtId="1" fontId="1" fillId="2" borderId="0" xfId="0" applyNumberFormat="1" applyFont="1" applyFill="1" applyBorder="1" applyAlignment="1">
      <alignment horizontal="right" vertical="top"/>
    </xf>
    <xf numFmtId="0" fontId="1" fillId="2" borderId="0" xfId="0" applyFont="1" applyFill="1" applyBorder="1" applyAlignment="1">
      <alignment vertical="top"/>
    </xf>
    <xf numFmtId="0" fontId="1" fillId="3" borderId="0" xfId="0" applyFont="1" applyFill="1" applyBorder="1" applyAlignment="1">
      <alignment vertical="top"/>
    </xf>
    <xf numFmtId="0" fontId="1" fillId="3" borderId="0" xfId="0" applyFont="1" applyFill="1" applyBorder="1" applyAlignment="1">
      <alignment horizontal="right" vertical="top"/>
    </xf>
    <xf numFmtId="0" fontId="2" fillId="0" borderId="0" xfId="0" applyFont="1" applyBorder="1" applyAlignment="1">
      <alignment vertical="center"/>
    </xf>
    <xf numFmtId="0" fontId="5" fillId="0" borderId="0" xfId="0" applyFont="1" applyBorder="1" applyAlignment="1">
      <alignment vertical="center" wrapText="1"/>
    </xf>
    <xf numFmtId="0" fontId="2" fillId="0" borderId="0" xfId="0" applyFont="1" applyBorder="1" applyAlignment="1">
      <alignment vertical="center" wrapText="1"/>
    </xf>
    <xf numFmtId="0" fontId="3" fillId="4" borderId="1" xfId="0" applyFont="1" applyFill="1" applyBorder="1" applyAlignment="1">
      <alignment horizontal="left" vertical="center" wrapText="1"/>
    </xf>
    <xf numFmtId="0" fontId="4" fillId="4" borderId="1" xfId="0" applyFont="1" applyFill="1" applyBorder="1" applyAlignment="1">
      <alignment horizontal="left" vertical="center" wrapText="1"/>
    </xf>
    <xf numFmtId="0" fontId="3" fillId="2" borderId="1" xfId="0" applyFont="1" applyFill="1" applyBorder="1" applyAlignment="1">
      <alignment horizontal="left" vertical="center" wrapText="1"/>
    </xf>
    <xf numFmtId="0" fontId="4" fillId="2" borderId="1" xfId="0" applyFont="1" applyFill="1" applyBorder="1" applyAlignment="1">
      <alignment horizontal="left" vertical="center" wrapText="1"/>
    </xf>
    <xf numFmtId="0" fontId="5" fillId="0" borderId="0" xfId="0" applyFont="1" applyBorder="1" applyAlignment="1">
      <alignment horizontal="center" vertical="center" wrapText="1"/>
    </xf>
    <xf numFmtId="0" fontId="6" fillId="5" borderId="0"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2" fillId="4" borderId="0" xfId="0" applyFont="1" applyFill="1" applyBorder="1" applyAlignment="1">
      <alignment horizontal="center" vertical="center" wrapText="1"/>
    </xf>
    <xf numFmtId="0" fontId="2" fillId="0" borderId="0" xfId="0" applyFont="1" applyBorder="1" applyAlignment="1">
      <alignment horizontal="center" vertical="center" wrapText="1"/>
    </xf>
    <xf numFmtId="0" fontId="10" fillId="0" borderId="0" xfId="0" applyFont="1" applyBorder="1" applyAlignment="1">
      <alignment vertical="center" wrapText="1"/>
    </xf>
    <xf numFmtId="0" fontId="2" fillId="7" borderId="0" xfId="0" applyFont="1" applyFill="1" applyBorder="1" applyAlignment="1">
      <alignment horizontal="center" vertical="center" wrapText="1"/>
    </xf>
    <xf numFmtId="0" fontId="6" fillId="8" borderId="0" xfId="0" applyFont="1" applyFill="1" applyBorder="1" applyAlignment="1">
      <alignment horizontal="center" vertical="center" wrapText="1"/>
    </xf>
    <xf numFmtId="0" fontId="11" fillId="0" borderId="0" xfId="0" quotePrefix="1" applyFont="1" applyBorder="1" applyAlignment="1">
      <alignment horizontal="center" vertical="center" textRotation="180" wrapText="1"/>
    </xf>
    <xf numFmtId="0" fontId="2" fillId="6" borderId="1" xfId="0" quotePrefix="1" applyFont="1" applyFill="1" applyBorder="1" applyAlignment="1" applyProtection="1">
      <alignment horizontal="center" vertical="center" wrapText="1"/>
      <protection locked="0"/>
    </xf>
    <xf numFmtId="0" fontId="2" fillId="6" borderId="1" xfId="0" applyFont="1" applyFill="1" applyBorder="1" applyAlignment="1" applyProtection="1">
      <alignment horizontal="center" vertical="center" wrapText="1"/>
      <protection locked="0"/>
    </xf>
    <xf numFmtId="0" fontId="2" fillId="0" borderId="3" xfId="0" applyFont="1" applyBorder="1" applyAlignment="1" applyProtection="1">
      <alignment vertical="center" wrapText="1"/>
      <protection locked="0"/>
    </xf>
    <xf numFmtId="0" fontId="2" fillId="6" borderId="1" xfId="0" quotePrefix="1" applyFont="1" applyFill="1" applyBorder="1" applyAlignment="1" applyProtection="1">
      <alignment horizontal="center" vertical="center"/>
      <protection locked="0"/>
    </xf>
    <xf numFmtId="0" fontId="2" fillId="7" borderId="0" xfId="0" applyFont="1" applyFill="1" applyBorder="1" applyAlignment="1">
      <alignment vertical="center" wrapText="1"/>
    </xf>
    <xf numFmtId="0" fontId="2" fillId="7" borderId="0" xfId="0" applyFont="1" applyFill="1" applyBorder="1" applyAlignment="1">
      <alignment vertical="center"/>
    </xf>
    <xf numFmtId="0" fontId="2" fillId="0" borderId="0" xfId="0" applyFont="1" applyBorder="1" applyAlignment="1" applyProtection="1">
      <alignment horizontal="center" vertical="center" wrapText="1"/>
    </xf>
    <xf numFmtId="0" fontId="7" fillId="5" borderId="2" xfId="0" applyFont="1" applyFill="1" applyBorder="1" applyAlignment="1" applyProtection="1">
      <alignment horizontal="center" vertical="center" wrapText="1"/>
    </xf>
    <xf numFmtId="0" fontId="2" fillId="7" borderId="0" xfId="0" applyFont="1" applyFill="1" applyBorder="1" applyAlignment="1" applyProtection="1">
      <alignment horizontal="center" vertical="center" wrapText="1"/>
    </xf>
    <xf numFmtId="0" fontId="5" fillId="6" borderId="0" xfId="0" applyFont="1" applyFill="1" applyBorder="1" applyAlignment="1" applyProtection="1">
      <alignment horizontal="center" vertical="center" wrapText="1"/>
    </xf>
    <xf numFmtId="0" fontId="5" fillId="7" borderId="0"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99060</xdr:colOff>
          <xdr:row>32</xdr:row>
          <xdr:rowOff>60960</xdr:rowOff>
        </xdr:from>
        <xdr:to>
          <xdr:col>7</xdr:col>
          <xdr:colOff>1219200</xdr:colOff>
          <xdr:row>32</xdr:row>
          <xdr:rowOff>891540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UA" sz="1100" b="0" i="0" u="none" strike="noStrike" baseline="0">
                  <a:solidFill>
                    <a:srgbClr val="000000"/>
                  </a:solidFill>
                  <a:latin typeface="Calibri"/>
                  <a:cs typeface="Calibri"/>
                </a:rPr>
                <a:t>PRESS ME!</a:t>
              </a:r>
            </a:p>
            <a:p>
              <a:pPr algn="ctr" rtl="0">
                <a:defRPr sz="1000"/>
              </a:pPr>
              <a:endParaRPr lang="ru-UA" sz="1100" b="0" i="0" u="none" strike="noStrike" baseline="0">
                <a:solidFill>
                  <a:srgbClr val="000000"/>
                </a:solidFill>
                <a:latin typeface="Calibri"/>
                <a:cs typeface="Calibri"/>
              </a:endParaRPr>
            </a:p>
            <a:p>
              <a:pPr algn="ctr" rtl="0">
                <a:defRPr sz="1000"/>
              </a:pPr>
              <a:r>
                <a:rPr lang="ru-UA" sz="1100" b="0" i="0" u="none" strike="noStrike" baseline="0">
                  <a:solidFill>
                    <a:srgbClr val="000000"/>
                  </a:solidFill>
                  <a:latin typeface="Calibri"/>
                  <a:cs typeface="Calibri"/>
                </a:rPr>
                <a:t>MAKE JSON GREAT AGAIN:)</a:t>
              </a:r>
            </a:p>
            <a:p>
              <a:pPr algn="ctr" rtl="0">
                <a:defRPr sz="1000"/>
              </a:pPr>
              <a:endParaRPr lang="ru-UA" sz="1100" b="0" i="0" u="none" strike="noStrike" baseline="0">
                <a:solidFill>
                  <a:srgbClr val="000000"/>
                </a:solidFill>
                <a:latin typeface="Calibri"/>
                <a:cs typeface="Calibri"/>
              </a:endParaRPr>
            </a:p>
            <a:p>
              <a:pPr algn="ctr" rtl="0">
                <a:defRPr sz="1000"/>
              </a:pPr>
              <a:r>
                <a:rPr lang="ru-UA" sz="1100" b="0" i="0" u="none" strike="noStrike" baseline="0">
                  <a:solidFill>
                    <a:srgbClr val="000000"/>
                  </a:solidFill>
                  <a:latin typeface="Calibri"/>
                  <a:cs typeface="Calibri"/>
                </a:rPr>
                <a:t>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12237-F325-448C-9EDC-268568A66400}">
  <sheetPr codeName="Sheet1"/>
  <dimension ref="B2:F29"/>
  <sheetViews>
    <sheetView workbookViewId="0">
      <selection activeCell="E2" sqref="E2:E3"/>
    </sheetView>
  </sheetViews>
  <sheetFormatPr defaultRowHeight="14.4" x14ac:dyDescent="0.3"/>
  <cols>
    <col min="1" max="1" width="8.88671875" style="1"/>
    <col min="2" max="2" width="16.109375" style="1" bestFit="1" customWidth="1"/>
    <col min="3" max="3" width="42.44140625" style="1" customWidth="1"/>
    <col min="4" max="4" width="24.33203125" style="1" customWidth="1"/>
    <col min="5" max="5" width="17.21875" style="1" bestFit="1" customWidth="1"/>
    <col min="6" max="16384" width="8.88671875" style="1"/>
  </cols>
  <sheetData>
    <row r="2" spans="2:6" x14ac:dyDescent="0.3">
      <c r="B2" s="2" t="s">
        <v>0</v>
      </c>
      <c r="C2" s="3" t="s">
        <v>1</v>
      </c>
      <c r="E2" s="1" t="s">
        <v>42</v>
      </c>
      <c r="F2" s="1" t="s">
        <v>40</v>
      </c>
    </row>
    <row r="3" spans="2:6" x14ac:dyDescent="0.3">
      <c r="B3" s="2" t="s">
        <v>2</v>
      </c>
      <c r="C3" s="4">
        <v>4000530576484</v>
      </c>
      <c r="E3" s="1" t="s">
        <v>39</v>
      </c>
      <c r="F3" s="1" t="s">
        <v>41</v>
      </c>
    </row>
    <row r="4" spans="2:6" x14ac:dyDescent="0.3">
      <c r="B4" s="2" t="s">
        <v>3</v>
      </c>
      <c r="C4" s="3" t="s">
        <v>4</v>
      </c>
    </row>
    <row r="5" spans="2:6" x14ac:dyDescent="0.3">
      <c r="B5" s="2" t="s">
        <v>5</v>
      </c>
      <c r="C5" s="3" t="s">
        <v>6</v>
      </c>
    </row>
    <row r="6" spans="2:6" x14ac:dyDescent="0.3">
      <c r="B6" s="2" t="s">
        <v>7</v>
      </c>
      <c r="C6" s="3" t="s">
        <v>8</v>
      </c>
    </row>
    <row r="7" spans="2:6" x14ac:dyDescent="0.3">
      <c r="B7" s="2" t="s">
        <v>9</v>
      </c>
      <c r="C7" s="3" t="s">
        <v>10</v>
      </c>
    </row>
    <row r="8" spans="2:6" x14ac:dyDescent="0.3">
      <c r="B8" s="2" t="s">
        <v>11</v>
      </c>
      <c r="C8" s="3" t="s">
        <v>12</v>
      </c>
      <c r="E8" s="1" t="s">
        <v>43</v>
      </c>
      <c r="F8" s="1" t="s">
        <v>44</v>
      </c>
    </row>
    <row r="9" spans="2:6" x14ac:dyDescent="0.3">
      <c r="B9" s="5" t="s">
        <v>13</v>
      </c>
      <c r="C9" s="3" t="s">
        <v>14</v>
      </c>
      <c r="E9" s="1" t="s">
        <v>2</v>
      </c>
      <c r="F9" s="1" t="s">
        <v>45</v>
      </c>
    </row>
    <row r="10" spans="2:6" x14ac:dyDescent="0.3">
      <c r="B10" s="5" t="s">
        <v>15</v>
      </c>
      <c r="C10" s="3">
        <v>24</v>
      </c>
      <c r="E10" s="1" t="s">
        <v>3</v>
      </c>
    </row>
    <row r="11" spans="2:6" x14ac:dyDescent="0.3">
      <c r="B11" s="5" t="s">
        <v>16</v>
      </c>
      <c r="C11" s="3" t="s">
        <v>17</v>
      </c>
    </row>
    <row r="12" spans="2:6" x14ac:dyDescent="0.3">
      <c r="B12" s="5" t="s">
        <v>18</v>
      </c>
      <c r="C12" s="3" t="s">
        <v>19</v>
      </c>
    </row>
    <row r="13" spans="2:6" x14ac:dyDescent="0.3">
      <c r="B13" s="5" t="s">
        <v>20</v>
      </c>
      <c r="C13" s="3" t="s">
        <v>21</v>
      </c>
    </row>
    <row r="14" spans="2:6" x14ac:dyDescent="0.3">
      <c r="B14" s="6" t="s">
        <v>22</v>
      </c>
      <c r="C14" s="7" t="s">
        <v>23</v>
      </c>
    </row>
    <row r="17" spans="2:3" x14ac:dyDescent="0.3">
      <c r="B17" s="5" t="s">
        <v>0</v>
      </c>
      <c r="C17" s="3" t="s">
        <v>24</v>
      </c>
    </row>
    <row r="18" spans="2:3" x14ac:dyDescent="0.3">
      <c r="B18" s="5" t="s">
        <v>2</v>
      </c>
      <c r="C18" s="3">
        <v>4004633302247</v>
      </c>
    </row>
    <row r="19" spans="2:3" x14ac:dyDescent="0.3">
      <c r="B19" s="5" t="s">
        <v>3</v>
      </c>
      <c r="C19" s="3" t="s">
        <v>25</v>
      </c>
    </row>
    <row r="20" spans="2:3" x14ac:dyDescent="0.3">
      <c r="B20" s="5" t="s">
        <v>5</v>
      </c>
      <c r="C20" s="3" t="s">
        <v>26</v>
      </c>
    </row>
    <row r="21" spans="2:3" x14ac:dyDescent="0.3">
      <c r="B21" s="5" t="s">
        <v>7</v>
      </c>
      <c r="C21" s="3" t="s">
        <v>8</v>
      </c>
    </row>
    <row r="22" spans="2:3" x14ac:dyDescent="0.3">
      <c r="B22" s="5" t="s">
        <v>27</v>
      </c>
      <c r="C22" s="3" t="s">
        <v>28</v>
      </c>
    </row>
    <row r="23" spans="2:3" x14ac:dyDescent="0.3">
      <c r="B23" s="5" t="s">
        <v>9</v>
      </c>
      <c r="C23" s="3" t="s">
        <v>29</v>
      </c>
    </row>
    <row r="24" spans="2:3" x14ac:dyDescent="0.3">
      <c r="B24" s="5" t="s">
        <v>11</v>
      </c>
      <c r="C24" s="3" t="s">
        <v>30</v>
      </c>
    </row>
    <row r="25" spans="2:3" x14ac:dyDescent="0.3">
      <c r="B25" s="5" t="s">
        <v>31</v>
      </c>
      <c r="C25" s="3" t="s">
        <v>32</v>
      </c>
    </row>
    <row r="26" spans="2:3" x14ac:dyDescent="0.3">
      <c r="B26" s="5" t="s">
        <v>33</v>
      </c>
      <c r="C26" s="3" t="s">
        <v>34</v>
      </c>
    </row>
    <row r="27" spans="2:3" x14ac:dyDescent="0.3">
      <c r="B27" s="5" t="s">
        <v>35</v>
      </c>
      <c r="C27" s="3" t="s">
        <v>35</v>
      </c>
    </row>
    <row r="28" spans="2:3" x14ac:dyDescent="0.3">
      <c r="B28" s="5" t="s">
        <v>36</v>
      </c>
      <c r="C28" s="3" t="s">
        <v>37</v>
      </c>
    </row>
    <row r="29" spans="2:3" x14ac:dyDescent="0.3">
      <c r="B29" s="6" t="s">
        <v>38</v>
      </c>
      <c r="C29" s="7">
        <v>24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320848-A970-44B1-BD67-A4F3F7AE6272}">
  <sheetPr codeName="Sheet2"/>
  <dimension ref="A1:J35"/>
  <sheetViews>
    <sheetView tabSelected="1" topLeftCell="B1" zoomScale="85" zoomScaleNormal="85" workbookViewId="0">
      <pane ySplit="3" topLeftCell="A16" activePane="bottomLeft" state="frozen"/>
      <selection pane="bottomLeft" activeCell="K13" sqref="K13"/>
    </sheetView>
  </sheetViews>
  <sheetFormatPr defaultRowHeight="15.6" outlineLevelRow="1" outlineLevelCol="1" x14ac:dyDescent="0.3"/>
  <cols>
    <col min="1" max="1" width="8" style="19" hidden="1" customWidth="1" outlineLevel="1"/>
    <col min="2" max="2" width="24.5546875" style="10" bestFit="1" customWidth="1" collapsed="1"/>
    <col min="3" max="3" width="9" style="10" bestFit="1" customWidth="1"/>
    <col min="4" max="4" width="11" style="10" bestFit="1" customWidth="1"/>
    <col min="5" max="5" width="12" style="10" bestFit="1" customWidth="1"/>
    <col min="6" max="6" width="42.109375" style="10" customWidth="1"/>
    <col min="7" max="7" width="22.88671875" style="30" customWidth="1"/>
    <col min="8" max="8" width="19.109375" style="10" customWidth="1"/>
    <col min="9" max="9" width="63.21875" style="10" customWidth="1"/>
    <col min="10" max="10" width="2.109375" style="10" bestFit="1" customWidth="1"/>
    <col min="11" max="16384" width="8.88671875" style="10"/>
  </cols>
  <sheetData>
    <row r="1" spans="1:10" hidden="1" outlineLevel="1" x14ac:dyDescent="0.3">
      <c r="C1" s="21" t="s">
        <v>101</v>
      </c>
      <c r="D1" s="21" t="s">
        <v>102</v>
      </c>
      <c r="E1" s="21" t="s">
        <v>104</v>
      </c>
      <c r="G1" s="10"/>
    </row>
    <row r="2" spans="1:10" customFormat="1" collapsed="1" x14ac:dyDescent="0.3">
      <c r="G2" s="33" t="s">
        <v>122</v>
      </c>
      <c r="H2" s="34" t="s">
        <v>123</v>
      </c>
    </row>
    <row r="3" spans="1:10" ht="31.2" x14ac:dyDescent="0.3">
      <c r="A3" s="16" t="s">
        <v>82</v>
      </c>
      <c r="B3" s="17" t="s">
        <v>75</v>
      </c>
      <c r="C3" s="17" t="s">
        <v>76</v>
      </c>
      <c r="D3" s="17" t="s">
        <v>77</v>
      </c>
      <c r="E3" s="17" t="s">
        <v>78</v>
      </c>
      <c r="F3" s="17" t="s">
        <v>79</v>
      </c>
      <c r="G3" s="31" t="s">
        <v>105</v>
      </c>
      <c r="H3" s="22" t="s">
        <v>115</v>
      </c>
      <c r="I3" s="22" t="s">
        <v>116</v>
      </c>
    </row>
    <row r="4" spans="1:10" x14ac:dyDescent="0.3">
      <c r="A4" s="18" t="s">
        <v>83</v>
      </c>
      <c r="B4" s="11" t="s">
        <v>46</v>
      </c>
      <c r="C4" s="12" t="s">
        <v>47</v>
      </c>
      <c r="D4" s="12" t="s">
        <v>48</v>
      </c>
      <c r="E4" s="12" t="s">
        <v>49</v>
      </c>
      <c r="F4" s="12" t="s">
        <v>80</v>
      </c>
      <c r="G4" s="24" t="s">
        <v>112</v>
      </c>
      <c r="H4" s="28" t="str">
        <f t="shared" ref="H4:H17" si="0">$C$1&amp;$B4&amp;$C$1&amp;": "&amp;$C$1&amp;$G4&amp;$C$1</f>
        <v>"enabled": "true"</v>
      </c>
      <c r="I4" s="29" t="str">
        <f>D1&amp;H4</f>
        <v>{"enabled": "true"</v>
      </c>
      <c r="J4" s="19" t="s">
        <v>114</v>
      </c>
    </row>
    <row r="5" spans="1:10" ht="30" x14ac:dyDescent="0.3">
      <c r="A5" s="18" t="s">
        <v>83</v>
      </c>
      <c r="B5" s="11" t="s">
        <v>50</v>
      </c>
      <c r="C5" s="12" t="s">
        <v>47</v>
      </c>
      <c r="D5" s="12" t="s">
        <v>51</v>
      </c>
      <c r="E5" s="12" t="s">
        <v>49</v>
      </c>
      <c r="F5" s="12" t="s">
        <v>52</v>
      </c>
      <c r="G5" s="25" t="s">
        <v>113</v>
      </c>
      <c r="H5" s="28" t="str">
        <f t="shared" si="0"/>
        <v>"name": "asddas"</v>
      </c>
      <c r="I5" s="29" t="str">
        <f t="shared" ref="I5:I17" si="1">IF(G5="",I4,I4&amp;", "&amp;H5)</f>
        <v>{"enabled": "true", "name": "asddas"</v>
      </c>
      <c r="J5" s="19" t="s">
        <v>114</v>
      </c>
    </row>
    <row r="6" spans="1:10" x14ac:dyDescent="0.3">
      <c r="A6" s="18" t="s">
        <v>83</v>
      </c>
      <c r="B6" s="11" t="s">
        <v>53</v>
      </c>
      <c r="C6" s="12" t="s">
        <v>47</v>
      </c>
      <c r="D6" s="12" t="s">
        <v>54</v>
      </c>
      <c r="E6" s="12" t="s">
        <v>49</v>
      </c>
      <c r="F6" s="12" t="s">
        <v>55</v>
      </c>
      <c r="G6" s="25">
        <v>100</v>
      </c>
      <c r="H6" s="28" t="str">
        <f t="shared" si="0"/>
        <v>"currentPrice": "100"</v>
      </c>
      <c r="I6" s="29" t="str">
        <f t="shared" si="1"/>
        <v>{"enabled": "true", "name": "asddas", "currentPrice": "100"</v>
      </c>
      <c r="J6" s="19" t="s">
        <v>114</v>
      </c>
    </row>
    <row r="7" spans="1:10" ht="31.2" x14ac:dyDescent="0.3">
      <c r="A7" s="19" t="s">
        <v>83</v>
      </c>
      <c r="B7" s="13" t="s">
        <v>56</v>
      </c>
      <c r="C7" s="14" t="s">
        <v>57</v>
      </c>
      <c r="D7" s="14" t="s">
        <v>54</v>
      </c>
      <c r="E7" s="14" t="s">
        <v>49</v>
      </c>
      <c r="F7" s="14" t="s">
        <v>100</v>
      </c>
      <c r="G7" s="25">
        <v>200</v>
      </c>
      <c r="H7" s="28" t="str">
        <f t="shared" si="0"/>
        <v>"previousPrice": "200"</v>
      </c>
      <c r="I7" s="29" t="str">
        <f t="shared" si="1"/>
        <v>{"enabled": "true", "name": "asddas", "currentPrice": "100", "previousPrice": "200"</v>
      </c>
      <c r="J7" s="19" t="s">
        <v>114</v>
      </c>
    </row>
    <row r="8" spans="1:10" ht="30" x14ac:dyDescent="0.3">
      <c r="A8" s="18" t="s">
        <v>83</v>
      </c>
      <c r="B8" s="11" t="s">
        <v>58</v>
      </c>
      <c r="C8" s="12" t="s">
        <v>47</v>
      </c>
      <c r="D8" s="12" t="s">
        <v>51</v>
      </c>
      <c r="E8" s="12" t="s">
        <v>49</v>
      </c>
      <c r="F8" s="12" t="s">
        <v>59</v>
      </c>
      <c r="G8" s="25" t="s">
        <v>103</v>
      </c>
      <c r="H8" s="28" t="str">
        <f t="shared" si="0"/>
        <v>"categories": "fs"</v>
      </c>
      <c r="I8" s="29" t="str">
        <f t="shared" si="1"/>
        <v>{"enabled": "true", "name": "asddas", "currentPrice": "100", "previousPrice": "200", "categories": "fs"</v>
      </c>
      <c r="J8" s="19" t="s">
        <v>114</v>
      </c>
    </row>
    <row r="9" spans="1:10" ht="30" x14ac:dyDescent="0.3">
      <c r="A9" s="18" t="s">
        <v>83</v>
      </c>
      <c r="B9" s="11" t="s">
        <v>60</v>
      </c>
      <c r="C9" s="12" t="s">
        <v>47</v>
      </c>
      <c r="D9" s="12" t="s">
        <v>61</v>
      </c>
      <c r="E9" s="12" t="s">
        <v>49</v>
      </c>
      <c r="F9" s="12" t="s">
        <v>62</v>
      </c>
      <c r="G9" s="25" t="s">
        <v>111</v>
      </c>
      <c r="H9" s="28" t="str">
        <f t="shared" si="0"/>
        <v>"imageUrls": "[]"</v>
      </c>
      <c r="I9" s="29" t="str">
        <f t="shared" si="1"/>
        <v>{"enabled": "true", "name": "asddas", "currentPrice": "100", "previousPrice": "200", "categories": "fs", "imageUrls": "[]"</v>
      </c>
      <c r="J9" s="19" t="s">
        <v>114</v>
      </c>
    </row>
    <row r="10" spans="1:10" x14ac:dyDescent="0.3">
      <c r="A10" s="18" t="s">
        <v>83</v>
      </c>
      <c r="B10" s="11" t="s">
        <v>63</v>
      </c>
      <c r="C10" s="12" t="s">
        <v>47</v>
      </c>
      <c r="D10" s="12" t="s">
        <v>54</v>
      </c>
      <c r="E10" s="12" t="s">
        <v>49</v>
      </c>
      <c r="F10" s="12" t="s">
        <v>84</v>
      </c>
      <c r="G10" s="25">
        <v>5</v>
      </c>
      <c r="H10" s="28" t="str">
        <f t="shared" si="0"/>
        <v>"quantity": "5"</v>
      </c>
      <c r="I10" s="29" t="str">
        <f t="shared" si="1"/>
        <v>{"enabled": "true", "name": "asddas", "currentPrice": "100", "previousPrice": "200", "categories": "fs", "imageUrls": "[]", "quantity": "5"</v>
      </c>
      <c r="J10" s="19" t="s">
        <v>114</v>
      </c>
    </row>
    <row r="11" spans="1:10" ht="46.8" x14ac:dyDescent="0.3">
      <c r="A11" s="19" t="s">
        <v>83</v>
      </c>
      <c r="B11" s="13" t="s">
        <v>64</v>
      </c>
      <c r="C11" s="14" t="s">
        <v>57</v>
      </c>
      <c r="D11" s="14" t="s">
        <v>51</v>
      </c>
      <c r="E11" s="14" t="s">
        <v>49</v>
      </c>
      <c r="F11" s="14" t="s">
        <v>65</v>
      </c>
      <c r="G11" s="25" t="s">
        <v>119</v>
      </c>
      <c r="H11" s="28" t="str">
        <f t="shared" si="0"/>
        <v>"color": "aaaaaaaaaaaaaaaaaaaaaaaaaaaaaaaaaaaaaaaa"</v>
      </c>
      <c r="I11" s="29" t="str">
        <f t="shared" si="1"/>
        <v>{"enabled": "true", "name": "asddas", "currentPrice": "100", "previousPrice": "200", "categories": "fs", "imageUrls": "[]", "quantity": "5", "color": "aaaaaaaaaaaaaaaaaaaaaaaaaaaaaaaaaaaaaaaa"</v>
      </c>
      <c r="J11" s="19" t="s">
        <v>114</v>
      </c>
    </row>
    <row r="12" spans="1:10" x14ac:dyDescent="0.3">
      <c r="A12" s="19" t="s">
        <v>86</v>
      </c>
      <c r="B12" s="13" t="s">
        <v>66</v>
      </c>
      <c r="C12" s="14" t="s">
        <v>57</v>
      </c>
      <c r="D12" s="14" t="s">
        <v>51</v>
      </c>
      <c r="E12" s="14" t="s">
        <v>49</v>
      </c>
      <c r="F12" s="14" t="s">
        <v>65</v>
      </c>
      <c r="G12" s="25"/>
      <c r="H12" s="28" t="str">
        <f t="shared" si="0"/>
        <v>"sizes": ""</v>
      </c>
      <c r="I12" s="29" t="str">
        <f t="shared" si="1"/>
        <v>{"enabled": "true", "name": "asddas", "currentPrice": "100", "previousPrice": "200", "categories": "fs", "imageUrls": "[]", "quantity": "5", "color": "aaaaaaaaaaaaaaaaaaaaaaaaaaaaaaaaaaaaaaaa"</v>
      </c>
      <c r="J12" s="19" t="s">
        <v>114</v>
      </c>
    </row>
    <row r="13" spans="1:10" x14ac:dyDescent="0.3">
      <c r="A13" s="19" t="s">
        <v>85</v>
      </c>
      <c r="B13" s="13" t="s">
        <v>67</v>
      </c>
      <c r="C13" s="14" t="s">
        <v>57</v>
      </c>
      <c r="D13" s="14" t="s">
        <v>51</v>
      </c>
      <c r="E13" s="14" t="s">
        <v>49</v>
      </c>
      <c r="F13" s="14" t="s">
        <v>65</v>
      </c>
      <c r="G13" s="25"/>
      <c r="H13" s="28" t="str">
        <f t="shared" si="0"/>
        <v>"productUrl": ""</v>
      </c>
      <c r="I13" s="29" t="str">
        <f t="shared" si="1"/>
        <v>{"enabled": "true", "name": "asddas", "currentPrice": "100", "previousPrice": "200", "categories": "fs", "imageUrls": "[]", "quantity": "5", "color": "aaaaaaaaaaaaaaaaaaaaaaaaaaaaaaaaaaaaaaaa"</v>
      </c>
      <c r="J13" s="19" t="s">
        <v>114</v>
      </c>
    </row>
    <row r="14" spans="1:10" x14ac:dyDescent="0.3">
      <c r="A14" s="19" t="s">
        <v>83</v>
      </c>
      <c r="B14" s="13" t="s">
        <v>68</v>
      </c>
      <c r="C14" s="14" t="s">
        <v>57</v>
      </c>
      <c r="D14" s="14" t="s">
        <v>51</v>
      </c>
      <c r="E14" s="14" t="s">
        <v>49</v>
      </c>
      <c r="F14" s="14" t="s">
        <v>65</v>
      </c>
      <c r="G14" s="25"/>
      <c r="H14" s="28" t="str">
        <f t="shared" si="0"/>
        <v>"brand": ""</v>
      </c>
      <c r="I14" s="29" t="str">
        <f t="shared" si="1"/>
        <v>{"enabled": "true", "name": "asddas", "currentPrice": "100", "previousPrice": "200", "categories": "fs", "imageUrls": "[]", "quantity": "5", "color": "aaaaaaaaaaaaaaaaaaaaaaaaaaaaaaaaaaaaaaaa"</v>
      </c>
      <c r="J14" s="19" t="s">
        <v>114</v>
      </c>
    </row>
    <row r="15" spans="1:10" x14ac:dyDescent="0.3">
      <c r="A15" s="19" t="s">
        <v>83</v>
      </c>
      <c r="B15" s="13" t="s">
        <v>69</v>
      </c>
      <c r="C15" s="14" t="s">
        <v>57</v>
      </c>
      <c r="D15" s="14" t="s">
        <v>51</v>
      </c>
      <c r="E15" s="14" t="s">
        <v>49</v>
      </c>
      <c r="F15" s="14" t="s">
        <v>65</v>
      </c>
      <c r="G15" s="25"/>
      <c r="H15" s="28" t="str">
        <f t="shared" si="0"/>
        <v>"manufacturer": ""</v>
      </c>
      <c r="I15" s="29" t="str">
        <f t="shared" si="1"/>
        <v>{"enabled": "true", "name": "asddas", "currentPrice": "100", "previousPrice": "200", "categories": "fs", "imageUrls": "[]", "quantity": "5", "color": "aaaaaaaaaaaaaaaaaaaaaaaaaaaaaaaaaaaaaaaa"</v>
      </c>
      <c r="J15" s="19" t="s">
        <v>114</v>
      </c>
    </row>
    <row r="16" spans="1:10" x14ac:dyDescent="0.3">
      <c r="A16" s="19" t="s">
        <v>83</v>
      </c>
      <c r="B16" s="13" t="s">
        <v>70</v>
      </c>
      <c r="C16" s="14" t="s">
        <v>57</v>
      </c>
      <c r="D16" s="14" t="s">
        <v>51</v>
      </c>
      <c r="E16" s="14" t="s">
        <v>49</v>
      </c>
      <c r="F16" s="14" t="s">
        <v>65</v>
      </c>
      <c r="G16" s="25"/>
      <c r="H16" s="28" t="str">
        <f t="shared" si="0"/>
        <v>"manufacturerCountry": ""</v>
      </c>
      <c r="I16" s="29" t="str">
        <f t="shared" si="1"/>
        <v>{"enabled": "true", "name": "asddas", "currentPrice": "100", "previousPrice": "200", "categories": "fs", "imageUrls": "[]", "quantity": "5", "color": "aaaaaaaaaaaaaaaaaaaaaaaaaaaaaaaaaaaaaaaa"</v>
      </c>
      <c r="J16" s="19" t="s">
        <v>114</v>
      </c>
    </row>
    <row r="17" spans="1:10" x14ac:dyDescent="0.3">
      <c r="A17" s="19" t="s">
        <v>86</v>
      </c>
      <c r="B17" s="13" t="s">
        <v>71</v>
      </c>
      <c r="C17" s="14" t="s">
        <v>57</v>
      </c>
      <c r="D17" s="14" t="s">
        <v>51</v>
      </c>
      <c r="E17" s="14" t="s">
        <v>49</v>
      </c>
      <c r="F17" s="14" t="s">
        <v>65</v>
      </c>
      <c r="G17" s="25"/>
      <c r="H17" s="28" t="str">
        <f t="shared" si="0"/>
        <v>"seller": ""</v>
      </c>
      <c r="I17" s="29" t="str">
        <f t="shared" si="1"/>
        <v>{"enabled": "true", "name": "asddas", "currentPrice": "100", "previousPrice": "200", "categories": "fs", "imageUrls": "[]", "quantity": "5", "color": "aaaaaaaaaaaaaaaaaaaaaaaaaaaaaaaaaaaaaaaa"</v>
      </c>
      <c r="J17" s="19" t="s">
        <v>114</v>
      </c>
    </row>
    <row r="18" spans="1:10" x14ac:dyDescent="0.3">
      <c r="A18" s="18" t="s">
        <v>83</v>
      </c>
      <c r="B18" s="11" t="s">
        <v>72</v>
      </c>
      <c r="C18" s="12" t="s">
        <v>47</v>
      </c>
      <c r="D18" s="12" t="s">
        <v>73</v>
      </c>
      <c r="E18" s="12" t="s">
        <v>74</v>
      </c>
      <c r="F18" s="12" t="s">
        <v>81</v>
      </c>
      <c r="G18" s="32"/>
      <c r="I18" s="8"/>
      <c r="J18" s="19" t="s">
        <v>114</v>
      </c>
    </row>
    <row r="19" spans="1:10" x14ac:dyDescent="0.3">
      <c r="I19" s="8"/>
      <c r="J19" s="19" t="s">
        <v>114</v>
      </c>
    </row>
    <row r="20" spans="1:10" x14ac:dyDescent="0.3">
      <c r="B20" s="9" t="s">
        <v>87</v>
      </c>
      <c r="G20" s="32" t="s">
        <v>106</v>
      </c>
      <c r="H20" s="28" t="s">
        <v>109</v>
      </c>
      <c r="I20" s="29" t="str">
        <f>IF(G20="",I17,I17&amp;H20)</f>
        <v>{"enabled": "true", "name": "asddas", "currentPrice": "100", "previousPrice": "200", "categories": "fs", "imageUrls": "[]", "quantity": "5", "color": "aaaaaaaaaaaaaaaaaaaaaaaaaaaaaaaaaaaaaaaa", "myCustomParam": {</v>
      </c>
      <c r="J20" s="19" t="s">
        <v>114</v>
      </c>
    </row>
    <row r="21" spans="1:10" x14ac:dyDescent="0.3">
      <c r="A21" s="18" t="s">
        <v>83</v>
      </c>
      <c r="B21" s="11" t="s">
        <v>2</v>
      </c>
      <c r="C21" s="12" t="s">
        <v>47</v>
      </c>
      <c r="D21" s="12" t="s">
        <v>54</v>
      </c>
      <c r="E21" s="12" t="s">
        <v>49</v>
      </c>
      <c r="F21" s="12" t="s">
        <v>88</v>
      </c>
      <c r="G21" s="25">
        <v>123456</v>
      </c>
      <c r="H21" s="28" t="str">
        <f t="shared" ref="H21:H30" si="2">$C$1&amp;$B21&amp;$C$1&amp;": "&amp;$C$1&amp;$G21&amp;$C$1</f>
        <v>"EAN": "123456"</v>
      </c>
      <c r="I21" s="29" t="str">
        <f>IF(G21="",I20,I20&amp;H21)</f>
        <v>{"enabled": "true", "name": "asddas", "currentPrice": "100", "previousPrice": "200", "categories": "fs", "imageUrls": "[]", "quantity": "5", "color": "aaaaaaaaaaaaaaaaaaaaaaaaaaaaaaaaaaaaaaaa", "myCustomParam": {"EAN": "123456"</v>
      </c>
      <c r="J21" s="19" t="s">
        <v>114</v>
      </c>
    </row>
    <row r="22" spans="1:10" x14ac:dyDescent="0.3">
      <c r="A22" s="19" t="s">
        <v>83</v>
      </c>
      <c r="B22" s="13" t="s">
        <v>93</v>
      </c>
      <c r="C22" s="14" t="s">
        <v>57</v>
      </c>
      <c r="D22" s="14" t="s">
        <v>51</v>
      </c>
      <c r="E22" s="14" t="s">
        <v>49</v>
      </c>
      <c r="F22" s="14"/>
      <c r="G22" s="25" t="s">
        <v>107</v>
      </c>
      <c r="H22" s="28" t="str">
        <f t="shared" si="2"/>
        <v>"collection": "sad"</v>
      </c>
      <c r="I22" s="29" t="str">
        <f t="shared" ref="I22:I30" si="3">IF(G22="",I21,I21&amp;", "&amp;H22)</f>
        <v>{"enabled": "true", "name": "asddas", "currentPrice": "100", "previousPrice": "200", "categories": "fs", "imageUrls": "[]", "quantity": "5", "color": "aaaaaaaaaaaaaaaaaaaaaaaaaaaaaaaaaaaaaaaa", "myCustomParam": {"EAN": "123456", "collection": "sad"</v>
      </c>
      <c r="J22" s="19" t="s">
        <v>114</v>
      </c>
    </row>
    <row r="23" spans="1:10" x14ac:dyDescent="0.3">
      <c r="A23" s="19" t="s">
        <v>83</v>
      </c>
      <c r="B23" s="13" t="s">
        <v>92</v>
      </c>
      <c r="C23" s="14" t="s">
        <v>57</v>
      </c>
      <c r="D23" s="14" t="s">
        <v>51</v>
      </c>
      <c r="E23" s="14" t="s">
        <v>49</v>
      </c>
      <c r="F23" s="14"/>
      <c r="G23" s="25"/>
      <c r="H23" s="28" t="str">
        <f t="shared" si="2"/>
        <v>"material": ""</v>
      </c>
      <c r="I23" s="29" t="str">
        <f t="shared" si="3"/>
        <v>{"enabled": "true", "name": "asddas", "currentPrice": "100", "previousPrice": "200", "categories": "fs", "imageUrls": "[]", "quantity": "5", "color": "aaaaaaaaaaaaaaaaaaaaaaaaaaaaaaaaaaaaaaaa", "myCustomParam": {"EAN": "123456", "collection": "sad"</v>
      </c>
      <c r="J23" s="19" t="s">
        <v>114</v>
      </c>
    </row>
    <row r="24" spans="1:10" x14ac:dyDescent="0.3">
      <c r="A24" s="19" t="s">
        <v>83</v>
      </c>
      <c r="B24" s="13" t="s">
        <v>91</v>
      </c>
      <c r="C24" s="14" t="s">
        <v>57</v>
      </c>
      <c r="D24" s="14" t="s">
        <v>51</v>
      </c>
      <c r="E24" s="14" t="s">
        <v>49</v>
      </c>
      <c r="F24" s="14"/>
      <c r="G24" s="25" t="s">
        <v>108</v>
      </c>
      <c r="H24" s="28" t="str">
        <f t="shared" si="2"/>
        <v>"care": "aa"</v>
      </c>
      <c r="I24" s="29" t="str">
        <f t="shared" si="3"/>
        <v>{"enabled": "true", "name": "asddas", "currentPrice": "100", "previousPrice": "200", "categories": "fs", "imageUrls": "[]", "quantity": "5", "color": "aaaaaaaaaaaaaaaaaaaaaaaaaaaaaaaaaaaaaaaa", "myCustomParam": {"EAN": "123456", "collection": "sad", "care": "aa"</v>
      </c>
      <c r="J24" s="19" t="s">
        <v>114</v>
      </c>
    </row>
    <row r="25" spans="1:10" ht="30" x14ac:dyDescent="0.3">
      <c r="A25" s="19" t="s">
        <v>83</v>
      </c>
      <c r="B25" s="13" t="s">
        <v>66</v>
      </c>
      <c r="C25" s="14" t="s">
        <v>57</v>
      </c>
      <c r="D25" s="14" t="s">
        <v>61</v>
      </c>
      <c r="E25" s="14" t="s">
        <v>49</v>
      </c>
      <c r="F25" s="14" t="s">
        <v>99</v>
      </c>
      <c r="G25" s="25"/>
      <c r="H25" s="28" t="str">
        <f t="shared" si="2"/>
        <v>"sizes": ""</v>
      </c>
      <c r="I25" s="29" t="str">
        <f t="shared" si="3"/>
        <v>{"enabled": "true", "name": "asddas", "currentPrice": "100", "previousPrice": "200", "categories": "fs", "imageUrls": "[]", "quantity": "5", "color": "aaaaaaaaaaaaaaaaaaaaaaaaaaaaaaaaaaaaaaaa", "myCustomParam": {"EAN": "123456", "collection": "sad", "care": "aa"</v>
      </c>
      <c r="J25" s="19" t="s">
        <v>114</v>
      </c>
    </row>
    <row r="26" spans="1:10" x14ac:dyDescent="0.3">
      <c r="A26" s="19" t="s">
        <v>83</v>
      </c>
      <c r="B26" s="13" t="s">
        <v>90</v>
      </c>
      <c r="C26" s="14" t="s">
        <v>57</v>
      </c>
      <c r="D26" s="14" t="s">
        <v>54</v>
      </c>
      <c r="E26" s="14" t="s">
        <v>49</v>
      </c>
      <c r="F26" s="14" t="s">
        <v>89</v>
      </c>
      <c r="G26" s="25"/>
      <c r="H26" s="28" t="str">
        <f t="shared" si="2"/>
        <v>"setSize": ""</v>
      </c>
      <c r="I26" s="29" t="str">
        <f t="shared" si="3"/>
        <v>{"enabled": "true", "name": "asddas", "currentPrice": "100", "previousPrice": "200", "categories": "fs", "imageUrls": "[]", "quantity": "5", "color": "aaaaaaaaaaaaaaaaaaaaaaaaaaaaaaaaaaaaaaaa", "myCustomParam": {"EAN": "123456", "collection": "sad", "care": "aa"</v>
      </c>
      <c r="J26" s="19" t="s">
        <v>114</v>
      </c>
    </row>
    <row r="27" spans="1:10" x14ac:dyDescent="0.3">
      <c r="A27" s="19" t="s">
        <v>83</v>
      </c>
      <c r="B27" s="13" t="s">
        <v>94</v>
      </c>
      <c r="C27" s="14" t="s">
        <v>57</v>
      </c>
      <c r="D27" s="14" t="s">
        <v>54</v>
      </c>
      <c r="E27" s="14" t="s">
        <v>49</v>
      </c>
      <c r="F27" s="14" t="s">
        <v>95</v>
      </c>
      <c r="G27" s="25"/>
      <c r="H27" s="28" t="str">
        <f t="shared" si="2"/>
        <v>"capacity": ""</v>
      </c>
      <c r="I27" s="29" t="str">
        <f t="shared" si="3"/>
        <v>{"enabled": "true", "name": "asddas", "currentPrice": "100", "previousPrice": "200", "categories": "fs", "imageUrls": "[]", "quantity": "5", "color": "aaaaaaaaaaaaaaaaaaaaaaaaaaaaaaaaaaaaaaaa", "myCustomParam": {"EAN": "123456", "collection": "sad", "care": "aa"</v>
      </c>
      <c r="J27" s="19" t="s">
        <v>114</v>
      </c>
    </row>
    <row r="28" spans="1:10" x14ac:dyDescent="0.3">
      <c r="A28" s="19" t="s">
        <v>83</v>
      </c>
      <c r="B28" s="13" t="s">
        <v>96</v>
      </c>
      <c r="C28" s="14" t="s">
        <v>57</v>
      </c>
      <c r="D28" s="14" t="s">
        <v>54</v>
      </c>
      <c r="E28" s="14" t="s">
        <v>49</v>
      </c>
      <c r="F28" s="14" t="s">
        <v>98</v>
      </c>
      <c r="G28" s="25"/>
      <c r="H28" s="28" t="str">
        <f t="shared" si="2"/>
        <v>"power": ""</v>
      </c>
      <c r="I28" s="29" t="str">
        <f t="shared" si="3"/>
        <v>{"enabled": "true", "name": "asddas", "currentPrice": "100", "previousPrice": "200", "categories": "fs", "imageUrls": "[]", "quantity": "5", "color": "aaaaaaaaaaaaaaaaaaaaaaaaaaaaaaaaaaaaaaaa", "myCustomParam": {"EAN": "123456", "collection": "sad", "care": "aa"</v>
      </c>
      <c r="J28" s="19" t="s">
        <v>114</v>
      </c>
    </row>
    <row r="29" spans="1:10" x14ac:dyDescent="0.3">
      <c r="A29" s="19" t="s">
        <v>83</v>
      </c>
      <c r="B29" s="13" t="s">
        <v>97</v>
      </c>
      <c r="C29" s="14" t="s">
        <v>57</v>
      </c>
      <c r="D29" s="14" t="s">
        <v>54</v>
      </c>
      <c r="E29" s="14" t="s">
        <v>49</v>
      </c>
      <c r="F29" s="14" t="s">
        <v>98</v>
      </c>
      <c r="G29" s="25"/>
      <c r="H29" s="28" t="str">
        <f t="shared" si="2"/>
        <v>"voltage": ""</v>
      </c>
      <c r="I29" s="29" t="str">
        <f t="shared" si="3"/>
        <v>{"enabled": "true", "name": "asddas", "currentPrice": "100", "previousPrice": "200", "categories": "fs", "imageUrls": "[]", "quantity": "5", "color": "aaaaaaaaaaaaaaaaaaaaaaaaaaaaaaaaaaaaaaaa", "myCustomParam": {"EAN": "123456", "collection": "sad", "care": "aa"</v>
      </c>
      <c r="J29" s="19" t="s">
        <v>114</v>
      </c>
    </row>
    <row r="30" spans="1:10" ht="63.6" customHeight="1" x14ac:dyDescent="0.3">
      <c r="A30" s="19" t="s">
        <v>83</v>
      </c>
      <c r="B30" s="13" t="s">
        <v>120</v>
      </c>
      <c r="C30" s="14" t="s">
        <v>57</v>
      </c>
      <c r="D30" s="14" t="s">
        <v>51</v>
      </c>
      <c r="E30" s="14" t="s">
        <v>49</v>
      </c>
      <c r="F30" s="14"/>
      <c r="G30" s="27" t="s">
        <v>121</v>
      </c>
      <c r="H30" s="28" t="str">
        <f t="shared" si="2"/>
        <v>"productDescription": "The WMF cookware series and pans made of the innovative material Fusiontec guarantee a new, very special excellence in terms of quality, design and functionality. This is also the case with the WMF Fusiontec Perfect Premium pressure cooker, which is produced with great attention to detail with its modern, extraordinary design in numerous manufacturing steps. When this process is completed, it is scrutinized to ensure high quality and safety.  Fusiontec is Made in Germany par excellence. The unique firing and hardening process fuses a series of ceramic layers onto a steel core, creating a resilient material with a non-porous sealed surface. This combination makes the first-class utilisation properties of Fusiontec cookware and frying pans stand out: Their smooth surface is cut and abrasion-resistant, perfectly suitable for low-fat cooking and easy to clean. The extremely low-maintenance and nearly indestructible material is also visually attractive. It looks elegant, trendy and modern. In other words, as excellent as it really is."</v>
      </c>
      <c r="I30" s="29" t="str">
        <f t="shared" si="3"/>
        <v>{"enabled": "true", "name": "asddas", "currentPrice": "100", "previousPrice": "200", "categories": "fs", "imageUrls": "[]", "quantity": "5", "color": "aaaaaaaaaaaaaaaaaaaaaaaaaaaaaaaaaaaaaaaa", "myCustomParam": {"EAN": "123456", "collection": "sad", "care": "aa", "productDescription": "The WMF cookware series and pans made of the innovative material Fusiontec guarantee a new, very special excellence in terms of quality, design and functionality. This is also the case with the WMF Fusiontec Perfect Premium pressure cooker, which is produced with great attention to detail with its modern, extraordinary design in numerous manufacturing steps. When this process is completed, it is scrutinized to ensure high quality and safety.  Fusiontec is Made in Germany par excellence. The unique firing and hardening process fuses a series of ceramic layers onto a steel core, creating a resilient material with a non-porous sealed surface. This combination makes the first-class utilisation properties of Fusiontec cookware and frying pans stand out: Their smooth surface is cut and abrasion-resistant, perfectly suitable for low-fat cooking and easy to clean. The extremely low-maintenance and nearly indestructible material is also visually attractive. It looks elegant, trendy and modern. In other words, as excellent as it really is."</v>
      </c>
      <c r="J30" s="19"/>
    </row>
    <row r="31" spans="1:10" x14ac:dyDescent="0.3">
      <c r="B31" s="1"/>
      <c r="G31" s="32" t="s">
        <v>106</v>
      </c>
      <c r="H31" s="28" t="s">
        <v>110</v>
      </c>
      <c r="I31" s="29" t="str">
        <f>IF(G31="",I30,I30&amp;H31)</f>
        <v>{"enabled": "true", "name": "asddas", "currentPrice": "100", "previousPrice": "200", "categories": "fs", "imageUrls": "[]", "quantity": "5", "color": "aaaaaaaaaaaaaaaaaaaaaaaaaaaaaaaaaaaaaaaa", "myCustomParam": {"EAN": "123456", "collection": "sad", "care": "aa", "productDescription": "The WMF cookware series and pans made of the innovative material Fusiontec guarantee a new, very special excellence in terms of quality, design and functionality. This is also the case with the WMF Fusiontec Perfect Premium pressure cooker, which is produced with great attention to detail with its modern, extraordinary design in numerous manufacturing steps. When this process is completed, it is scrutinized to ensure high quality and safety.  Fusiontec is Made in Germany par excellence. The unique firing and hardening process fuses a series of ceramic layers onto a steel core, creating a resilient material with a non-porous sealed surface. This combination makes the first-class utilisation properties of Fusiontec cookware and frying pans stand out: Their smooth surface is cut and abrasion-resistant, perfectly suitable for low-fat cooking and easy to clean. The extremely low-maintenance and nearly indestructible material is also visually attractive. It looks elegant, trendy and modern. In other words, as excellent as it really is."} }</v>
      </c>
      <c r="J31" s="19" t="s">
        <v>114</v>
      </c>
    </row>
    <row r="32" spans="1:10" x14ac:dyDescent="0.3">
      <c r="B32" s="1"/>
      <c r="I32" s="8"/>
      <c r="J32" s="19"/>
    </row>
    <row r="33" spans="2:10" ht="73.8" customHeight="1" thickBot="1" x14ac:dyDescent="0.35">
      <c r="B33" s="1"/>
      <c r="H33" s="20"/>
      <c r="I33" s="23" t="s">
        <v>117</v>
      </c>
      <c r="J33" s="19" t="s">
        <v>114</v>
      </c>
    </row>
    <row r="34" spans="2:10" ht="104.4" customHeight="1" thickTop="1" thickBot="1" x14ac:dyDescent="0.35">
      <c r="H34" s="15" t="s">
        <v>118</v>
      </c>
      <c r="I34" s="26" t="s">
        <v>124</v>
      </c>
      <c r="J34" s="19" t="s">
        <v>114</v>
      </c>
    </row>
    <row r="35" spans="2:10" ht="16.2" thickTop="1" x14ac:dyDescent="0.3"/>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Format_data">
                <anchor moveWithCells="1" sizeWithCells="1">
                  <from>
                    <xdr:col>7</xdr:col>
                    <xdr:colOff>99060</xdr:colOff>
                    <xdr:row>32</xdr:row>
                    <xdr:rowOff>60960</xdr:rowOff>
                  </from>
                  <to>
                    <xdr:col>7</xdr:col>
                    <xdr:colOff>1219200</xdr:colOff>
                    <xdr:row>32</xdr:row>
                    <xdr:rowOff>891540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Межерицкий Владислав</dc:creator>
  <cp:lastModifiedBy>Межерицкий Владислав</cp:lastModifiedBy>
  <dcterms:created xsi:type="dcterms:W3CDTF">2020-01-09T09:24:19Z</dcterms:created>
  <dcterms:modified xsi:type="dcterms:W3CDTF">2020-01-10T08:36:59Z</dcterms:modified>
</cp:coreProperties>
</file>