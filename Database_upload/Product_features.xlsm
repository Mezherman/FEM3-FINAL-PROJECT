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E:\VLAD\IT\DAN_IT\FEM3-FINAL-PROJECT\Temp\"/>
    </mc:Choice>
  </mc:AlternateContent>
  <xr:revisionPtr revIDLastSave="0" documentId="13_ncr:1_{41DBD48B-339B-47C7-9007-560B33A1B2A8}" xr6:coauthVersionLast="45" xr6:coauthVersionMax="45" xr10:uidLastSave="{00000000-0000-0000-0000-000000000000}"/>
  <bookViews>
    <workbookView xWindow="-108" yWindow="-108" windowWidth="23256" windowHeight="12576" firstSheet="1" activeTab="1" xr2:uid="{904C5962-C68D-4EDD-B96F-336E3766755B}"/>
  </bookViews>
  <sheets>
    <sheet name="Sheet1" sheetId="1" state="hidden"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5" i="2" l="1"/>
  <c r="G34" i="2"/>
  <c r="G38" i="2"/>
  <c r="G37" i="2"/>
  <c r="G36" i="2"/>
  <c r="G33" i="2"/>
  <c r="G32" i="2"/>
  <c r="G31" i="2"/>
  <c r="G30" i="2"/>
  <c r="G29" i="2"/>
  <c r="G28" i="2"/>
  <c r="G27" i="2"/>
  <c r="G26" i="2"/>
  <c r="G25" i="2"/>
  <c r="G24" i="2"/>
  <c r="G23" i="2"/>
  <c r="G22" i="2"/>
  <c r="G21" i="2"/>
  <c r="G20" i="2"/>
  <c r="G19" i="2"/>
  <c r="G7" i="2"/>
  <c r="G8" i="2"/>
  <c r="G9" i="2"/>
  <c r="G10" i="2"/>
  <c r="G11" i="2"/>
  <c r="G13" i="2"/>
  <c r="G14" i="2"/>
  <c r="G15" i="2"/>
  <c r="G5" i="2"/>
  <c r="G6" i="2"/>
  <c r="G4" i="2"/>
  <c r="F12" i="2"/>
  <c r="G12" i="2" s="1"/>
  <c r="H4" i="2" l="1"/>
  <c r="H5" i="2" l="1"/>
  <c r="H6" i="2" s="1"/>
  <c r="H7" i="2" s="1"/>
  <c r="H8" i="2" s="1"/>
  <c r="H9" i="2" s="1"/>
  <c r="H10" i="2" s="1"/>
  <c r="H11" i="2" s="1"/>
  <c r="H12" i="2" l="1"/>
  <c r="H13" i="2" s="1"/>
  <c r="H14" i="2" s="1"/>
  <c r="H15" i="2" s="1"/>
  <c r="H18" i="2" s="1"/>
  <c r="H19" i="2" l="1"/>
  <c r="H20" i="2" s="1"/>
  <c r="H21" i="2" s="1"/>
  <c r="H22" i="2" s="1"/>
  <c r="H23" i="2" s="1"/>
  <c r="H24" i="2" s="1"/>
  <c r="H25" i="2" s="1"/>
  <c r="H26" i="2" l="1"/>
  <c r="H27" i="2" s="1"/>
  <c r="H28" i="2" l="1"/>
  <c r="H29" i="2" s="1"/>
  <c r="H30" i="2" s="1"/>
  <c r="H31" i="2" s="1"/>
  <c r="H32" i="2" s="1"/>
  <c r="H33" i="2" s="1"/>
  <c r="H36" i="2" l="1"/>
  <c r="H37" i="2" s="1"/>
  <c r="H38" i="2" s="1"/>
  <c r="H39" i="2" s="1"/>
  <c r="H34" i="2"/>
  <c r="H3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Межерицкий Владислав</author>
  </authors>
  <commentList>
    <comment ref="F6" authorId="0" shapeId="0" xr:uid="{A546489F-228E-4416-835D-E32DC81C99DC}">
      <text>
        <r>
          <rPr>
            <b/>
            <sz val="9"/>
            <color indexed="81"/>
            <rFont val="Tahoma"/>
            <charset val="1"/>
          </rPr>
          <t>Межерицкий Владислав:</t>
        </r>
        <r>
          <rPr>
            <sz val="9"/>
            <color indexed="81"/>
            <rFont val="Tahoma"/>
            <charset val="1"/>
          </rPr>
          <t xml:space="preserve">
без нулей</t>
        </r>
      </text>
    </comment>
    <comment ref="F7" authorId="0" shapeId="0" xr:uid="{53027F13-A0F2-44ED-82C5-FF690F359D90}">
      <text>
        <r>
          <rPr>
            <b/>
            <sz val="9"/>
            <color indexed="81"/>
            <rFont val="Tahoma"/>
            <charset val="1"/>
          </rPr>
          <t>Межерицкий Владислав:</t>
        </r>
        <r>
          <rPr>
            <sz val="9"/>
            <color indexed="81"/>
            <rFont val="Tahoma"/>
            <charset val="1"/>
          </rPr>
          <t xml:space="preserve">
без нулей</t>
        </r>
      </text>
    </comment>
    <comment ref="F8" authorId="0" shapeId="0" xr:uid="{F8F575D4-F360-4B5D-AD45-6D28ECA6A651}">
      <text>
        <r>
          <rPr>
            <b/>
            <sz val="9"/>
            <color indexed="81"/>
            <rFont val="Tahoma"/>
            <charset val="1"/>
          </rPr>
          <t>Межерицкий Владислав:</t>
        </r>
        <r>
          <rPr>
            <sz val="9"/>
            <color indexed="81"/>
            <rFont val="Tahoma"/>
            <charset val="1"/>
          </rPr>
          <t xml:space="preserve">
самая нижняя для этого продукта</t>
        </r>
      </text>
    </comment>
    <comment ref="F9" authorId="0" shapeId="0" xr:uid="{6E2FFD9C-7F00-4B45-A85D-742EA36E7910}">
      <text>
        <r>
          <rPr>
            <b/>
            <sz val="9"/>
            <color indexed="81"/>
            <rFont val="Tahoma"/>
            <charset val="1"/>
          </rPr>
          <t>Межерицкий Владислав:</t>
        </r>
        <r>
          <rPr>
            <sz val="9"/>
            <color indexed="81"/>
            <rFont val="Tahoma"/>
            <charset val="1"/>
          </rPr>
          <t xml:space="preserve">
путь в папке Public/…/
(начинать с img/…)</t>
        </r>
      </text>
    </comment>
  </commentList>
</comments>
</file>

<file path=xl/sharedStrings.xml><?xml version="1.0" encoding="utf-8"?>
<sst xmlns="http://schemas.openxmlformats.org/spreadsheetml/2006/main" count="285" uniqueCount="137">
  <si>
    <t>SKU:</t>
  </si>
  <si>
    <t>18.7587.6040</t>
  </si>
  <si>
    <t>EAN</t>
  </si>
  <si>
    <t>Brand</t>
  </si>
  <si>
    <t>WMF</t>
  </si>
  <si>
    <t>Collection</t>
  </si>
  <si>
    <t>Black Line</t>
  </si>
  <si>
    <t>Size sets</t>
  </si>
  <si>
    <t>1-pc.</t>
  </si>
  <si>
    <t>Material</t>
  </si>
  <si>
    <t>Cromargan® 18/10 stainless steel</t>
  </si>
  <si>
    <t>Material property</t>
  </si>
  <si>
    <t>Stainless steel, polished</t>
  </si>
  <si>
    <t>Production</t>
  </si>
  <si>
    <t>Engineered in Germany</t>
  </si>
  <si>
    <t>Length (cm)</t>
  </si>
  <si>
    <t>Color</t>
  </si>
  <si>
    <t>black, stainless steel</t>
  </si>
  <si>
    <t>Care</t>
  </si>
  <si>
    <t>Dishwasher safe</t>
  </si>
  <si>
    <t>Designer</t>
  </si>
  <si>
    <t>Metz &amp; Kindler Produktdesign</t>
  </si>
  <si>
    <t>Design Award</t>
  </si>
  <si>
    <t>red dot award Design Zentrum NRW 2004</t>
  </si>
  <si>
    <t>21.1030.2247</t>
  </si>
  <si>
    <t>Silit</t>
  </si>
  <si>
    <t>Belluna</t>
  </si>
  <si>
    <t>Scope of delivery</t>
  </si>
  <si>
    <t>1x frying pan</t>
  </si>
  <si>
    <t>Aluminium</t>
  </si>
  <si>
    <t>coated, PFOA free</t>
  </si>
  <si>
    <t>Building material</t>
  </si>
  <si>
    <t>Keramik, Kunststoff</t>
  </si>
  <si>
    <t>Product properties</t>
  </si>
  <si>
    <t>Easy to clean and care for, Regular tan through optimal heat conduction, Wide pouring rim for drip-free pouring., Plastic handle</t>
  </si>
  <si>
    <t>Induction-compatible</t>
  </si>
  <si>
    <t>Stove type</t>
  </si>
  <si>
    <t>suitable for glass-ceramic, gas, electric and induction stoves</t>
  </si>
  <si>
    <t>Diameter (cm)</t>
  </si>
  <si>
    <t>Product Description</t>
  </si>
  <si>
    <t>Silitan non stick coating
Long-lasting ceramic coating
Induction-suitable aluminum bottom
Plastic handle with flame guard
Wide pouring rim</t>
  </si>
  <si>
    <t>Ob Hobby- oder Profikoch, ob Spiegelei mit Speck oder Haute Cuisine: Der Klassiker unter den Pfannen darf in keiner Küche fehlen. Die Silit Stielpfannen sind aus hochwertigen Materialien gefertigt und verfügen über beste Wärmeeigenschaften. Einfach in der Handhabung, eignen sie sich zur Zubereitung verschiedenster Gerichte und brauchen dabei stets nur wenig Fett zum Anbraten.
Die Silit Pfannen-Kollektion Belluna macht den Küchenalltag ein Stückchen bunter und das Braten schneller, gleichmäßiger und besser. Dabei verzaubert die langlebige Außenbeschichtung aus Keramik gleich auf den ersten Blick in den Farben Blau, Grün und Rosé mit einem markanten Struktureffekt sowie einer sehr einfachen Reinigung. Im Pfanneninneren begeistert die PFOA-freie Silitan Antihaftbeschichtung mit besten Antihafteigenschaften - ob beim fettarmen Zubereiten von Gemüse, dem schonenden Braten delikater Fischfilets oder dem kurzen, heißen Angrillen saftiger Steaks. Und dies selbstverständlich auf jedem Herd, auch bei Induktion.</t>
  </si>
  <si>
    <t>Highlights</t>
  </si>
  <si>
    <t>SKU</t>
  </si>
  <si>
    <t>article code</t>
  </si>
  <si>
    <t>EAN code (штрих код товара)</t>
  </si>
  <si>
    <t>enabled</t>
  </si>
  <si>
    <t>required</t>
  </si>
  <si>
    <t>Boolean</t>
  </si>
  <si>
    <t>by user</t>
  </si>
  <si>
    <t>name</t>
  </si>
  <si>
    <t>String</t>
  </si>
  <si>
    <t>Name of product to show on store interface</t>
  </si>
  <si>
    <t>currentPrice</t>
  </si>
  <si>
    <t>Number</t>
  </si>
  <si>
    <t>Price to buy product</t>
  </si>
  <si>
    <t>previousPrice</t>
  </si>
  <si>
    <t>optional</t>
  </si>
  <si>
    <t>categories</t>
  </si>
  <si>
    <t>A low level category to which product is assigned</t>
  </si>
  <si>
    <t>imageUrls</t>
  </si>
  <si>
    <t>json</t>
  </si>
  <si>
    <t>Array of strings with url paths to product images</t>
  </si>
  <si>
    <t>quantity</t>
  </si>
  <si>
    <t>color</t>
  </si>
  <si>
    <t>-</t>
  </si>
  <si>
    <t>sizes</t>
  </si>
  <si>
    <t>productUrl</t>
  </si>
  <si>
    <t>brand</t>
  </si>
  <si>
    <t>manufacturer</t>
  </si>
  <si>
    <t>manufacturerCountry</t>
  </si>
  <si>
    <t>date</t>
  </si>
  <si>
    <t>Date</t>
  </si>
  <si>
    <t>by system</t>
  </si>
  <si>
    <t>Property</t>
  </si>
  <si>
    <t>Type</t>
  </si>
  <si>
    <t>Data type</t>
  </si>
  <si>
    <t>Generated</t>
  </si>
  <si>
    <t>Description</t>
  </si>
  <si>
    <r>
      <t>Default value - </t>
    </r>
    <r>
      <rPr>
        <sz val="12"/>
        <color theme="1"/>
        <rFont val="Consolas"/>
        <family val="3"/>
        <charset val="204"/>
      </rPr>
      <t>true</t>
    </r>
  </si>
  <si>
    <r>
      <t>default </t>
    </r>
    <r>
      <rPr>
        <sz val="12"/>
        <color theme="1"/>
        <rFont val="Consolas"/>
        <family val="3"/>
        <charset val="204"/>
      </rPr>
      <t>Date.now()</t>
    </r>
  </si>
  <si>
    <t>Quantity of product in store. default = 0</t>
  </si>
  <si>
    <t>myCustomParam:</t>
  </si>
  <si>
    <t>штрих код товара</t>
  </si>
  <si>
    <t>how many pieces in set</t>
  </si>
  <si>
    <t>setSize</t>
  </si>
  <si>
    <t>care</t>
  </si>
  <si>
    <t>material</t>
  </si>
  <si>
    <t>collection</t>
  </si>
  <si>
    <t>capacity</t>
  </si>
  <si>
    <t>power</t>
  </si>
  <si>
    <t>voltage</t>
  </si>
  <si>
    <t>for home appliance</t>
  </si>
  <si>
    <t>in our case can be different metrics (diameter, length, width etc)</t>
  </si>
  <si>
    <t>Сrossed out price (if promotion)</t>
  </si>
  <si>
    <t>"</t>
  </si>
  <si>
    <t>{</t>
  </si>
  <si>
    <t>}</t>
  </si>
  <si>
    <t>VALUE</t>
  </si>
  <si>
    <t>tech</t>
  </si>
  <si>
    <t>} }</t>
  </si>
  <si>
    <t>true</t>
  </si>
  <si>
    <t>*</t>
  </si>
  <si>
    <t>Step 1</t>
  </si>
  <si>
    <t>Step 2</t>
  </si>
  <si>
    <t>=&gt;</t>
  </si>
  <si>
    <t>JSON format =&gt;</t>
  </si>
  <si>
    <t>productDescription</t>
  </si>
  <si>
    <t>CELLS TO BE FILLED</t>
  </si>
  <si>
    <t>DO NOT TOUCH</t>
  </si>
  <si>
    <t>Germany</t>
  </si>
  <si>
    <t>in mililiters (for glasses)</t>
  </si>
  <si>
    <t>inPromo</t>
  </si>
  <si>
    <t>similarProducts</t>
  </si>
  <si>
    <t>crossSellingProducts</t>
  </si>
  <si>
    <t>fragile</t>
  </si>
  <si>
    <t>rating</t>
  </si>
  <si>
    <t>status</t>
  </si>
  <si>
    <t>buildingMaterial</t>
  </si>
  <si>
    <t>productHighlights</t>
  </si>
  <si>
    <t>, "myCustomParams":{</t>
  </si>
  <si>
    <t>WMF PermaDur Inspire frying pan Ø 20 cm</t>
  </si>
  <si>
    <t>Frying pans</t>
  </si>
  <si>
    <t>WMF Corp</t>
  </si>
  <si>
    <t>PermaDur Inspire</t>
  </si>
  <si>
    <t>Kunststoff</t>
  </si>
  <si>
    <t>{"diameter": 20}</t>
  </si>
  <si>
    <t>grey</t>
  </si>
  <si>
    <t>false</t>
  </si>
  <si>
    <t>active</t>
  </si>
  <si>
    <t>["Be convinced every day: The saucepans and serving pans in the WMF Collection PermaDur Inspire are real generalists in the kitchen. The long-lasting 3-layer PermaDur non-stick coating from WMF makes any culinary wish possible, from low-fat, gentle baking to hearty roasts. With the extra tall, large saucepans, it's no problem to prepare family-size portions of chilli con carne or ratatouille. The bodies, which are made of high quality and induction-safe aluminium, are excellent for directing and storing the heat and this ensures even roasting and cooking results. The pans are not only very easy to clean, they also enrich the appearance of every hob due to their look."]</t>
  </si>
  <si>
    <t>["3-layer PermaDur non-stick coating, PFOA free", "Aluminium base, suitable for induction", "wide pouring rim for pour out liquids without drips", "plastic handle with flame guard", "Easy to clean"]</t>
  </si>
  <si>
    <t>stoveType</t>
  </si>
  <si>
    <t>inductionCompatibale</t>
  </si>
  <si>
    <t>glass-ceramic, gas, electric and induction stoves</t>
  </si>
  <si>
    <t>["/img/products/cooking/frying-pans/199569/1.jpg", "/img/products/cooking/frying-pans/199569/2.jpg", "/img/products/cooking/frying-pans/199569/3.jpg", "/img/products/cooking/frying-pans/199569/4.jpg"]</t>
  </si>
  <si>
    <t>{"enabled":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"fragile": false, "status": "active", "buildingMaterial": "Kunststoff", "productHighlights": ["3-layer PermaDur non-stick coating, PFOA free", "Aluminium base, suitable for induction", "wide pouring rim for pour out liquids without drips", "plastic handle with flame guard", "Easy to clean"], "productDescription": ["Be convinced every day: The saucepans and serving pans in the WMF Collection PermaDur Inspire are real generalists in the kitchen. The long-lasting 3-layer PermaDur non-stick coating from WMF makes any culinary wish possible, from low-fat, gentle baking to hearty roasts. With the extra tall, large saucepans, it's no problem to prepare family-size portions of chilli con carne or ratatouille. The bodies, which are made of high quality and induction-safe aluminium, are excellent for directing and storing the heat and this ensures even roasting and cooking results. The pans are not only very easy to clean, they also enrich the appearance of every hob due to their look."]}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</si>
</sst>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charset val="204"/>
      <scheme val="minor"/>
    </font>
    <font>
      <sz val="10"/>
      <color rgb="FF1A1A1A"/>
      <name val="Arial"/>
      <family val="2"/>
      <charset val="204"/>
    </font>
    <font>
      <sz val="12"/>
      <color theme="1"/>
      <name val="Calibri"/>
      <family val="2"/>
      <charset val="204"/>
      <scheme val="minor"/>
    </font>
    <font>
      <sz val="12"/>
      <color theme="1"/>
      <name val="Consolas"/>
      <family val="3"/>
      <charset val="204"/>
    </font>
    <font>
      <sz val="12"/>
      <color theme="1"/>
      <name val="Arial"/>
      <family val="2"/>
      <charset val="204"/>
    </font>
    <font>
      <b/>
      <sz val="12"/>
      <color theme="1"/>
      <name val="Calibri"/>
      <family val="2"/>
      <charset val="204"/>
      <scheme val="minor"/>
    </font>
    <font>
      <b/>
      <sz val="12"/>
      <color theme="0"/>
      <name val="Calibri"/>
      <family val="2"/>
      <charset val="204"/>
      <scheme val="minor"/>
    </font>
    <font>
      <b/>
      <sz val="12"/>
      <color theme="0"/>
      <name val="Arial"/>
      <family val="2"/>
      <charset val="204"/>
    </font>
    <font>
      <sz val="12"/>
      <color rgb="FFFF0000"/>
      <name val="Calibri"/>
      <family val="2"/>
      <charset val="204"/>
      <scheme val="minor"/>
    </font>
    <font>
      <b/>
      <sz val="20"/>
      <color rgb="FFFF0000"/>
      <name val="Calibri"/>
      <family val="2"/>
      <charset val="204"/>
      <scheme val="minor"/>
    </font>
    <font>
      <sz val="11"/>
      <color rgb="FF000000"/>
      <name val="Calibri"/>
      <family val="2"/>
      <charset val="204"/>
    </font>
    <font>
      <sz val="9"/>
      <color indexed="81"/>
      <name val="Tahoma"/>
      <charset val="1"/>
    </font>
    <font>
      <b/>
      <sz val="9"/>
      <color indexed="81"/>
      <name val="Tahoma"/>
      <charset val="1"/>
    </font>
  </fonts>
  <fills count="9">
    <fill>
      <patternFill patternType="none"/>
    </fill>
    <fill>
      <patternFill patternType="gray125"/>
    </fill>
    <fill>
      <patternFill patternType="solid">
        <fgColor rgb="FFFFFFFF"/>
        <bgColor indexed="64"/>
      </patternFill>
    </fill>
    <fill>
      <patternFill patternType="solid">
        <fgColor rgb="FFDBDFE0"/>
        <bgColor indexed="64"/>
      </patternFill>
    </fill>
    <fill>
      <patternFill patternType="solid">
        <fgColor rgb="FFFFFF00"/>
        <bgColor indexed="64"/>
      </patternFill>
    </fill>
    <fill>
      <patternFill patternType="solid">
        <fgColor theme="4" tint="-0.249977111117893"/>
        <bgColor indexed="64"/>
      </patternFill>
    </fill>
    <fill>
      <patternFill patternType="solid">
        <fgColor theme="9" tint="0.59999389629810485"/>
        <bgColor indexed="64"/>
      </patternFill>
    </fill>
    <fill>
      <patternFill patternType="gray0625"/>
    </fill>
    <fill>
      <patternFill patternType="solid">
        <fgColor theme="4" tint="0.3999755851924192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ck">
        <color rgb="FFFF0000"/>
      </left>
      <right style="thick">
        <color rgb="FFFF0000"/>
      </right>
      <top style="thick">
        <color rgb="FFFF0000"/>
      </top>
      <bottom style="thick">
        <color rgb="FFFF0000"/>
      </bottom>
      <diagonal/>
    </border>
  </borders>
  <cellStyleXfs count="1">
    <xf numFmtId="0" fontId="0" fillId="0" borderId="0"/>
  </cellStyleXfs>
  <cellXfs count="35">
    <xf numFmtId="0" fontId="0" fillId="0" borderId="0" xfId="0"/>
    <xf numFmtId="0" fontId="0" fillId="0" borderId="0" xfId="0" applyAlignment="1"/>
    <xf numFmtId="0" fontId="1" fillId="4" borderId="0" xfId="0" applyFont="1" applyFill="1" applyBorder="1" applyAlignment="1">
      <alignment vertical="top"/>
    </xf>
    <xf numFmtId="0" fontId="1" fillId="2" borderId="0" xfId="0" applyFont="1" applyFill="1" applyBorder="1" applyAlignment="1">
      <alignment horizontal="right" vertical="top"/>
    </xf>
    <xf numFmtId="1" fontId="1" fillId="2" borderId="0" xfId="0" applyNumberFormat="1" applyFont="1" applyFill="1" applyBorder="1" applyAlignment="1">
      <alignment horizontal="right" vertical="top"/>
    </xf>
    <xf numFmtId="0" fontId="1" fillId="2" borderId="0" xfId="0" applyFont="1" applyFill="1" applyBorder="1" applyAlignment="1">
      <alignment vertical="top"/>
    </xf>
    <xf numFmtId="0" fontId="1" fillId="3" borderId="0" xfId="0" applyFont="1" applyFill="1" applyBorder="1" applyAlignment="1">
      <alignment vertical="top"/>
    </xf>
    <xf numFmtId="0" fontId="1" fillId="3" borderId="0" xfId="0" applyFont="1" applyFill="1" applyBorder="1" applyAlignment="1">
      <alignment horizontal="right" vertical="top"/>
    </xf>
    <xf numFmtId="0" fontId="2" fillId="0" borderId="0" xfId="0" applyFont="1" applyBorder="1" applyAlignment="1">
      <alignment vertical="center"/>
    </xf>
    <xf numFmtId="0" fontId="5" fillId="0" borderId="0" xfId="0" applyFont="1" applyBorder="1" applyAlignment="1">
      <alignment vertical="center" wrapText="1"/>
    </xf>
    <xf numFmtId="0" fontId="2" fillId="0" borderId="0" xfId="0" applyFont="1" applyBorder="1" applyAlignment="1">
      <alignment vertical="center" wrapText="1"/>
    </xf>
    <xf numFmtId="0" fontId="3" fillId="4" borderId="1" xfId="0" applyFont="1" applyFill="1" applyBorder="1" applyAlignment="1">
      <alignment horizontal="left" vertical="center" wrapText="1"/>
    </xf>
    <xf numFmtId="0" fontId="4" fillId="4" borderId="1" xfId="0" applyFont="1" applyFill="1" applyBorder="1" applyAlignment="1">
      <alignment horizontal="left" vertical="center" wrapText="1"/>
    </xf>
    <xf numFmtId="0" fontId="3" fillId="2" borderId="1" xfId="0" applyFont="1" applyFill="1" applyBorder="1" applyAlignment="1">
      <alignment horizontal="left" vertical="center" wrapText="1"/>
    </xf>
    <xf numFmtId="0" fontId="4" fillId="2" borderId="1" xfId="0" applyFont="1" applyFill="1" applyBorder="1" applyAlignment="1">
      <alignment horizontal="left" vertical="center" wrapText="1"/>
    </xf>
    <xf numFmtId="0" fontId="5" fillId="0" borderId="0" xfId="0" applyFont="1" applyBorder="1" applyAlignment="1">
      <alignment horizontal="center" vertical="center" wrapText="1"/>
    </xf>
    <xf numFmtId="0" fontId="7" fillId="5" borderId="1" xfId="0" applyFont="1" applyFill="1" applyBorder="1" applyAlignment="1">
      <alignment horizontal="center" vertical="center" wrapText="1"/>
    </xf>
    <xf numFmtId="0" fontId="2" fillId="0" borderId="0" xfId="0" applyFont="1" applyBorder="1" applyAlignment="1">
      <alignment horizontal="center" vertical="center" wrapText="1"/>
    </xf>
    <xf numFmtId="0" fontId="8" fillId="0" borderId="0" xfId="0" applyFont="1" applyBorder="1" applyAlignment="1">
      <alignment vertical="center" wrapText="1"/>
    </xf>
    <xf numFmtId="0" fontId="2" fillId="7" borderId="0" xfId="0" applyFont="1" applyFill="1" applyBorder="1" applyAlignment="1">
      <alignment horizontal="center" vertical="center" wrapText="1"/>
    </xf>
    <xf numFmtId="0" fontId="6" fillId="8" borderId="0" xfId="0" applyFont="1" applyFill="1" applyBorder="1" applyAlignment="1">
      <alignment horizontal="center" vertical="center" wrapText="1"/>
    </xf>
    <xf numFmtId="0" fontId="9" fillId="0" borderId="0" xfId="0" quotePrefix="1" applyFont="1" applyBorder="1" applyAlignment="1">
      <alignment horizontal="center" vertical="center" textRotation="180" wrapText="1"/>
    </xf>
    <xf numFmtId="0" fontId="2" fillId="0" borderId="3" xfId="0" applyFont="1" applyBorder="1" applyAlignment="1" applyProtection="1">
      <alignment vertical="center" wrapText="1"/>
      <protection locked="0"/>
    </xf>
    <xf numFmtId="0" fontId="2" fillId="6" borderId="1" xfId="0" quotePrefix="1" applyFont="1" applyFill="1" applyBorder="1" applyAlignment="1" applyProtection="1">
      <alignment horizontal="center" vertical="center"/>
      <protection locked="0"/>
    </xf>
    <xf numFmtId="0" fontId="2" fillId="7" borderId="0" xfId="0" applyFont="1" applyFill="1" applyBorder="1" applyAlignment="1">
      <alignment vertical="center"/>
    </xf>
    <xf numFmtId="0" fontId="2" fillId="0" borderId="0" xfId="0" applyFont="1" applyBorder="1" applyAlignment="1" applyProtection="1">
      <alignment horizontal="center" vertical="center" wrapText="1"/>
    </xf>
    <xf numFmtId="0" fontId="7" fillId="5" borderId="2" xfId="0" applyFont="1" applyFill="1" applyBorder="1" applyAlignment="1" applyProtection="1">
      <alignment horizontal="center" vertical="center" wrapText="1"/>
    </xf>
    <xf numFmtId="0" fontId="5" fillId="6" borderId="0" xfId="0" applyFont="1" applyFill="1" applyBorder="1" applyAlignment="1" applyProtection="1">
      <alignment horizontal="center" vertical="center" wrapText="1"/>
    </xf>
    <xf numFmtId="0" fontId="5" fillId="7" borderId="0" xfId="0" applyFont="1" applyFill="1" applyBorder="1" applyAlignment="1">
      <alignment horizontal="center" vertical="center" wrapText="1"/>
    </xf>
    <xf numFmtId="0" fontId="2" fillId="0" borderId="1" xfId="0" applyFont="1" applyBorder="1" applyAlignment="1">
      <alignment vertical="center" wrapText="1"/>
    </xf>
    <xf numFmtId="0" fontId="2" fillId="6" borderId="1" xfId="0" applyFont="1" applyFill="1" applyBorder="1" applyAlignment="1" applyProtection="1">
      <alignment horizontal="center" vertical="center"/>
      <protection locked="0"/>
    </xf>
    <xf numFmtId="1" fontId="2" fillId="6" borderId="1" xfId="0" applyNumberFormat="1" applyFont="1" applyFill="1" applyBorder="1" applyAlignment="1" applyProtection="1">
      <alignment horizontal="center" vertical="center"/>
      <protection locked="0"/>
    </xf>
    <xf numFmtId="0" fontId="2" fillId="0" borderId="1" xfId="0" applyFont="1" applyFill="1" applyBorder="1" applyAlignment="1" applyProtection="1">
      <alignment horizontal="center" vertical="center"/>
    </xf>
    <xf numFmtId="0" fontId="2" fillId="7" borderId="0" xfId="0" applyFont="1" applyFill="1" applyBorder="1" applyAlignment="1" applyProtection="1">
      <alignment horizontal="center" vertical="center"/>
    </xf>
    <xf numFmtId="0" fontId="2" fillId="0" borderId="0" xfId="0" applyFont="1" applyBorder="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99060</xdr:colOff>
          <xdr:row>40</xdr:row>
          <xdr:rowOff>60960</xdr:rowOff>
        </xdr:from>
        <xdr:to>
          <xdr:col>6</xdr:col>
          <xdr:colOff>1219200</xdr:colOff>
          <xdr:row>40</xdr:row>
          <xdr:rowOff>891540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UA" sz="1100" b="0" i="0" u="none" strike="noStrike" baseline="0">
                  <a:solidFill>
                    <a:srgbClr val="000000"/>
                  </a:solidFill>
                  <a:latin typeface="Calibri"/>
                  <a:cs typeface="Calibri"/>
                </a:rPr>
                <a:t>PRESS ME!</a:t>
              </a:r>
            </a:p>
            <a:p>
              <a:pPr algn="ctr" rtl="0">
                <a:defRPr sz="1000"/>
              </a:pPr>
              <a:endParaRPr lang="ru-UA" sz="1100" b="0" i="0" u="none" strike="noStrike" baseline="0">
                <a:solidFill>
                  <a:srgbClr val="000000"/>
                </a:solidFill>
                <a:latin typeface="Calibri"/>
                <a:cs typeface="Calibri"/>
              </a:endParaRPr>
            </a:p>
            <a:p>
              <a:pPr algn="ctr" rtl="0">
                <a:defRPr sz="1000"/>
              </a:pPr>
              <a:r>
                <a:rPr lang="ru-UA" sz="1100" b="0" i="0" u="none" strike="noStrike" baseline="0">
                  <a:solidFill>
                    <a:srgbClr val="000000"/>
                  </a:solidFill>
                  <a:latin typeface="Calibri"/>
                  <a:cs typeface="Calibri"/>
                </a:rPr>
                <a:t>MAKE JSON GREAT AGAIN:)</a:t>
              </a:r>
            </a:p>
            <a:p>
              <a:pPr algn="ctr" rtl="0">
                <a:defRPr sz="1000"/>
              </a:pPr>
              <a:endParaRPr lang="ru-UA" sz="1100" b="0" i="0" u="none" strike="noStrike" baseline="0">
                <a:solidFill>
                  <a:srgbClr val="000000"/>
                </a:solidFill>
                <a:latin typeface="Calibri"/>
                <a:cs typeface="Calibri"/>
              </a:endParaRPr>
            </a:p>
            <a:p>
              <a:pPr algn="ctr" rtl="0">
                <a:defRPr sz="1000"/>
              </a:pPr>
              <a:r>
                <a:rPr lang="ru-UA" sz="1100" b="0" i="0" u="none" strike="noStrike" baseline="0">
                  <a:solidFill>
                    <a:srgbClr val="000000"/>
                  </a:solidFill>
                  <a:latin typeface="Calibri"/>
                  <a:cs typeface="Calibri"/>
                </a:rPr>
                <a:t>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12237-F325-448C-9EDC-268568A66400}">
  <sheetPr codeName="Sheet1"/>
  <dimension ref="B2:F29"/>
  <sheetViews>
    <sheetView workbookViewId="0">
      <selection activeCell="E2" sqref="E2:E3"/>
    </sheetView>
  </sheetViews>
  <sheetFormatPr defaultRowHeight="14.4" x14ac:dyDescent="0.3"/>
  <cols>
    <col min="1" max="1" width="8.88671875" style="1"/>
    <col min="2" max="2" width="16.109375" style="1" bestFit="1" customWidth="1"/>
    <col min="3" max="3" width="42.44140625" style="1" customWidth="1"/>
    <col min="4" max="4" width="24.33203125" style="1" customWidth="1"/>
    <col min="5" max="5" width="17.21875" style="1" bestFit="1" customWidth="1"/>
    <col min="6" max="16384" width="8.88671875" style="1"/>
  </cols>
  <sheetData>
    <row r="2" spans="2:6" x14ac:dyDescent="0.3">
      <c r="B2" s="2" t="s">
        <v>0</v>
      </c>
      <c r="C2" s="3" t="s">
        <v>1</v>
      </c>
      <c r="E2" s="1" t="s">
        <v>42</v>
      </c>
      <c r="F2" s="1" t="s">
        <v>40</v>
      </c>
    </row>
    <row r="3" spans="2:6" x14ac:dyDescent="0.3">
      <c r="B3" s="2" t="s">
        <v>2</v>
      </c>
      <c r="C3" s="4">
        <v>4000530576484</v>
      </c>
      <c r="E3" s="1" t="s">
        <v>39</v>
      </c>
      <c r="F3" s="1" t="s">
        <v>41</v>
      </c>
    </row>
    <row r="4" spans="2:6" x14ac:dyDescent="0.3">
      <c r="B4" s="2" t="s">
        <v>3</v>
      </c>
      <c r="C4" s="3" t="s">
        <v>4</v>
      </c>
    </row>
    <row r="5" spans="2:6" x14ac:dyDescent="0.3">
      <c r="B5" s="2" t="s">
        <v>5</v>
      </c>
      <c r="C5" s="3" t="s">
        <v>6</v>
      </c>
    </row>
    <row r="6" spans="2:6" x14ac:dyDescent="0.3">
      <c r="B6" s="2" t="s">
        <v>7</v>
      </c>
      <c r="C6" s="3" t="s">
        <v>8</v>
      </c>
    </row>
    <row r="7" spans="2:6" x14ac:dyDescent="0.3">
      <c r="B7" s="2" t="s">
        <v>9</v>
      </c>
      <c r="C7" s="3" t="s">
        <v>10</v>
      </c>
    </row>
    <row r="8" spans="2:6" x14ac:dyDescent="0.3">
      <c r="B8" s="2" t="s">
        <v>11</v>
      </c>
      <c r="C8" s="3" t="s">
        <v>12</v>
      </c>
      <c r="E8" s="1" t="s">
        <v>43</v>
      </c>
      <c r="F8" s="1" t="s">
        <v>44</v>
      </c>
    </row>
    <row r="9" spans="2:6" x14ac:dyDescent="0.3">
      <c r="B9" s="5" t="s">
        <v>13</v>
      </c>
      <c r="C9" s="3" t="s">
        <v>14</v>
      </c>
      <c r="E9" s="1" t="s">
        <v>2</v>
      </c>
      <c r="F9" s="1" t="s">
        <v>45</v>
      </c>
    </row>
    <row r="10" spans="2:6" x14ac:dyDescent="0.3">
      <c r="B10" s="5" t="s">
        <v>15</v>
      </c>
      <c r="C10" s="3">
        <v>24</v>
      </c>
      <c r="E10" s="1" t="s">
        <v>3</v>
      </c>
    </row>
    <row r="11" spans="2:6" x14ac:dyDescent="0.3">
      <c r="B11" s="5" t="s">
        <v>16</v>
      </c>
      <c r="C11" s="3" t="s">
        <v>17</v>
      </c>
    </row>
    <row r="12" spans="2:6" x14ac:dyDescent="0.3">
      <c r="B12" s="5" t="s">
        <v>18</v>
      </c>
      <c r="C12" s="3" t="s">
        <v>19</v>
      </c>
    </row>
    <row r="13" spans="2:6" x14ac:dyDescent="0.3">
      <c r="B13" s="5" t="s">
        <v>20</v>
      </c>
      <c r="C13" s="3" t="s">
        <v>21</v>
      </c>
    </row>
    <row r="14" spans="2:6" x14ac:dyDescent="0.3">
      <c r="B14" s="6" t="s">
        <v>22</v>
      </c>
      <c r="C14" s="7" t="s">
        <v>23</v>
      </c>
    </row>
    <row r="17" spans="2:3" x14ac:dyDescent="0.3">
      <c r="B17" s="5" t="s">
        <v>0</v>
      </c>
      <c r="C17" s="3" t="s">
        <v>24</v>
      </c>
    </row>
    <row r="18" spans="2:3" x14ac:dyDescent="0.3">
      <c r="B18" s="5" t="s">
        <v>2</v>
      </c>
      <c r="C18" s="3">
        <v>4004633302247</v>
      </c>
    </row>
    <row r="19" spans="2:3" x14ac:dyDescent="0.3">
      <c r="B19" s="5" t="s">
        <v>3</v>
      </c>
      <c r="C19" s="3" t="s">
        <v>25</v>
      </c>
    </row>
    <row r="20" spans="2:3" x14ac:dyDescent="0.3">
      <c r="B20" s="5" t="s">
        <v>5</v>
      </c>
      <c r="C20" s="3" t="s">
        <v>26</v>
      </c>
    </row>
    <row r="21" spans="2:3" x14ac:dyDescent="0.3">
      <c r="B21" s="5" t="s">
        <v>7</v>
      </c>
      <c r="C21" s="3" t="s">
        <v>8</v>
      </c>
    </row>
    <row r="22" spans="2:3" x14ac:dyDescent="0.3">
      <c r="B22" s="5" t="s">
        <v>27</v>
      </c>
      <c r="C22" s="3" t="s">
        <v>28</v>
      </c>
    </row>
    <row r="23" spans="2:3" x14ac:dyDescent="0.3">
      <c r="B23" s="5" t="s">
        <v>9</v>
      </c>
      <c r="C23" s="3" t="s">
        <v>29</v>
      </c>
    </row>
    <row r="24" spans="2:3" x14ac:dyDescent="0.3">
      <c r="B24" s="5" t="s">
        <v>11</v>
      </c>
      <c r="C24" s="3" t="s">
        <v>30</v>
      </c>
    </row>
    <row r="25" spans="2:3" x14ac:dyDescent="0.3">
      <c r="B25" s="5" t="s">
        <v>31</v>
      </c>
      <c r="C25" s="3" t="s">
        <v>32</v>
      </c>
    </row>
    <row r="26" spans="2:3" x14ac:dyDescent="0.3">
      <c r="B26" s="5" t="s">
        <v>33</v>
      </c>
      <c r="C26" s="3" t="s">
        <v>34</v>
      </c>
    </row>
    <row r="27" spans="2:3" x14ac:dyDescent="0.3">
      <c r="B27" s="5" t="s">
        <v>35</v>
      </c>
      <c r="C27" s="3" t="s">
        <v>35</v>
      </c>
    </row>
    <row r="28" spans="2:3" x14ac:dyDescent="0.3">
      <c r="B28" s="5" t="s">
        <v>36</v>
      </c>
      <c r="C28" s="3" t="s">
        <v>37</v>
      </c>
    </row>
    <row r="29" spans="2:3" x14ac:dyDescent="0.3">
      <c r="B29" s="6" t="s">
        <v>38</v>
      </c>
      <c r="C29" s="7">
        <v>24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20848-A970-44B1-BD67-A4F3F7AE6272}">
  <sheetPr codeName="Sheet2"/>
  <dimension ref="A1:I43"/>
  <sheetViews>
    <sheetView tabSelected="1" zoomScale="85" zoomScaleNormal="85" workbookViewId="0">
      <pane ySplit="3" topLeftCell="A4" activePane="bottomLeft" state="frozen"/>
      <selection pane="bottomLeft" activeCell="H8" sqref="H8"/>
    </sheetView>
  </sheetViews>
  <sheetFormatPr defaultRowHeight="15.6" outlineLevelRow="1" x14ac:dyDescent="0.3"/>
  <cols>
    <col min="1" max="1" width="26.21875" style="10" customWidth="1"/>
    <col min="2" max="2" width="9" style="10" bestFit="1" customWidth="1"/>
    <col min="3" max="3" width="11" style="10" bestFit="1" customWidth="1"/>
    <col min="4" max="4" width="12" style="10" bestFit="1" customWidth="1"/>
    <col min="5" max="5" width="42.109375" style="10" customWidth="1"/>
    <col min="6" max="6" width="22.88671875" style="25" customWidth="1"/>
    <col min="7" max="7" width="19.109375" style="10" customWidth="1"/>
    <col min="8" max="8" width="63.21875" style="10" customWidth="1"/>
    <col min="9" max="9" width="2.109375" style="10" bestFit="1" customWidth="1"/>
    <col min="10" max="16384" width="8.88671875" style="10"/>
  </cols>
  <sheetData>
    <row r="1" spans="1:9" hidden="1" outlineLevel="1" x14ac:dyDescent="0.3">
      <c r="B1" s="19" t="s">
        <v>95</v>
      </c>
      <c r="C1" s="19" t="s">
        <v>96</v>
      </c>
      <c r="D1" s="19" t="s">
        <v>97</v>
      </c>
      <c r="F1" s="10"/>
    </row>
    <row r="2" spans="1:9" customFormat="1" collapsed="1" x14ac:dyDescent="0.3">
      <c r="F2" s="27" t="s">
        <v>108</v>
      </c>
      <c r="G2" s="28" t="s">
        <v>109</v>
      </c>
    </row>
    <row r="3" spans="1:9" ht="31.2" x14ac:dyDescent="0.3">
      <c r="A3" s="16" t="s">
        <v>74</v>
      </c>
      <c r="B3" s="16" t="s">
        <v>75</v>
      </c>
      <c r="C3" s="16" t="s">
        <v>76</v>
      </c>
      <c r="D3" s="16" t="s">
        <v>77</v>
      </c>
      <c r="E3" s="16" t="s">
        <v>78</v>
      </c>
      <c r="F3" s="26" t="s">
        <v>98</v>
      </c>
      <c r="G3" s="20" t="s">
        <v>103</v>
      </c>
      <c r="H3" s="20" t="s">
        <v>104</v>
      </c>
    </row>
    <row r="4" spans="1:9" x14ac:dyDescent="0.3">
      <c r="A4" s="11" t="s">
        <v>46</v>
      </c>
      <c r="B4" s="12" t="s">
        <v>47</v>
      </c>
      <c r="C4" s="12" t="s">
        <v>48</v>
      </c>
      <c r="D4" s="12" t="s">
        <v>49</v>
      </c>
      <c r="E4" s="12" t="s">
        <v>79</v>
      </c>
      <c r="F4" s="23" t="s">
        <v>101</v>
      </c>
      <c r="G4" s="24" t="str">
        <f>IF(C4="String",$B$1&amp;$A4&amp;$B$1&amp;": "&amp;$B$1&amp;$F4&amp;$B$1,$B$1&amp;$A4&amp;$B$1&amp;": "&amp;$F4)</f>
        <v>"enabled": true</v>
      </c>
      <c r="H4" s="24" t="str">
        <f>C1&amp;G4</f>
        <v>{"enabled": true</v>
      </c>
      <c r="I4" s="17" t="s">
        <v>102</v>
      </c>
    </row>
    <row r="5" spans="1:9" ht="30" x14ac:dyDescent="0.3">
      <c r="A5" s="11" t="s">
        <v>50</v>
      </c>
      <c r="B5" s="12" t="s">
        <v>47</v>
      </c>
      <c r="C5" s="12" t="s">
        <v>51</v>
      </c>
      <c r="D5" s="12" t="s">
        <v>49</v>
      </c>
      <c r="E5" s="12" t="s">
        <v>52</v>
      </c>
      <c r="F5" s="30" t="s">
        <v>121</v>
      </c>
      <c r="G5" s="24" t="str">
        <f t="shared" ref="G5:G15" si="0">IF(C5="String",$B$1&amp;$A5&amp;$B$1&amp;": "&amp;$B$1&amp;$F5&amp;$B$1,$B$1&amp;$A5&amp;$B$1&amp;": "&amp;$F5)</f>
        <v>"name": "WMF PermaDur Inspire frying pan Ø 20 cm"</v>
      </c>
      <c r="H5" s="24" t="str">
        <f t="shared" ref="H5:H15" si="1">IF(F5="",H4,H4&amp;", "&amp;G5)</f>
        <v>{"enabled": true, "name": "WMF PermaDur Inspire frying pan Ø 20 cm"</v>
      </c>
      <c r="I5" s="17" t="s">
        <v>102</v>
      </c>
    </row>
    <row r="6" spans="1:9" x14ac:dyDescent="0.3">
      <c r="A6" s="11" t="s">
        <v>53</v>
      </c>
      <c r="B6" s="12" t="s">
        <v>47</v>
      </c>
      <c r="C6" s="12" t="s">
        <v>54</v>
      </c>
      <c r="D6" s="12" t="s">
        <v>49</v>
      </c>
      <c r="E6" s="12" t="s">
        <v>55</v>
      </c>
      <c r="F6" s="30">
        <v>30</v>
      </c>
      <c r="G6" s="24" t="str">
        <f t="shared" si="0"/>
        <v>"currentPrice": 30</v>
      </c>
      <c r="H6" s="24" t="str">
        <f t="shared" si="1"/>
        <v>{"enabled": true, "name": "WMF PermaDur Inspire frying pan Ø 20 cm", "currentPrice": 30</v>
      </c>
      <c r="I6" s="17" t="s">
        <v>102</v>
      </c>
    </row>
    <row r="7" spans="1:9" x14ac:dyDescent="0.3">
      <c r="A7" s="13" t="s">
        <v>56</v>
      </c>
      <c r="B7" s="14" t="s">
        <v>57</v>
      </c>
      <c r="C7" s="14" t="s">
        <v>54</v>
      </c>
      <c r="D7" s="14" t="s">
        <v>49</v>
      </c>
      <c r="E7" s="14" t="s">
        <v>94</v>
      </c>
      <c r="F7" s="30"/>
      <c r="G7" s="24" t="str">
        <f t="shared" si="0"/>
        <v xml:space="preserve">"previousPrice": </v>
      </c>
      <c r="H7" s="24" t="str">
        <f t="shared" si="1"/>
        <v>{"enabled": true, "name": "WMF PermaDur Inspire frying pan Ø 20 cm", "currentPrice": 30</v>
      </c>
      <c r="I7" s="17" t="s">
        <v>102</v>
      </c>
    </row>
    <row r="8" spans="1:9" ht="30" x14ac:dyDescent="0.3">
      <c r="A8" s="11" t="s">
        <v>58</v>
      </c>
      <c r="B8" s="12" t="s">
        <v>47</v>
      </c>
      <c r="C8" s="12" t="s">
        <v>51</v>
      </c>
      <c r="D8" s="12" t="s">
        <v>49</v>
      </c>
      <c r="E8" s="12" t="s">
        <v>59</v>
      </c>
      <c r="F8" s="30" t="s">
        <v>122</v>
      </c>
      <c r="G8" s="24" t="str">
        <f t="shared" si="0"/>
        <v>"categories": "Frying pans"</v>
      </c>
      <c r="H8" s="24" t="str">
        <f t="shared" si="1"/>
        <v>{"enabled": true, "name": "WMF PermaDur Inspire frying pan Ø 20 cm", "currentPrice": 30, "categories": "Frying pans"</v>
      </c>
      <c r="I8" s="17" t="s">
        <v>102</v>
      </c>
    </row>
    <row r="9" spans="1:9" ht="30" x14ac:dyDescent="0.3">
      <c r="A9" s="11" t="s">
        <v>60</v>
      </c>
      <c r="B9" s="12" t="s">
        <v>47</v>
      </c>
      <c r="C9" s="12" t="s">
        <v>61</v>
      </c>
      <c r="D9" s="12" t="s">
        <v>49</v>
      </c>
      <c r="E9" s="12" t="s">
        <v>62</v>
      </c>
      <c r="F9" s="23" t="s">
        <v>135</v>
      </c>
      <c r="G9" s="24" t="str">
        <f t="shared" si="0"/>
        <v>"imageUrls": ["/img/products/cooking/frying-pans/199569/1.jpg", "/img/products/cooking/frying-pans/199569/2.jpg", "/img/products/cooking/frying-pans/199569/3.jpg", "/img/products/cooking/frying-pans/199569/4.jpg"]</v>
      </c>
      <c r="H9" s="24" t="str">
        <f t="shared" si="1"/>
        <v>{"enabled": true, "name": "WMF PermaDur Inspire frying pan Ø 20 cm", "currentPrice": 30, "categories": "Frying pans", "imageUrls": ["/img/products/cooking/frying-pans/199569/1.jpg", "/img/products/cooking/frying-pans/199569/2.jpg", "/img/products/cooking/frying-pans/199569/3.jpg", "/img/products/cooking/frying-pans/199569/4.jpg"]</v>
      </c>
      <c r="I9" s="17" t="s">
        <v>102</v>
      </c>
    </row>
    <row r="10" spans="1:9" x14ac:dyDescent="0.3">
      <c r="A10" s="11" t="s">
        <v>63</v>
      </c>
      <c r="B10" s="12" t="s">
        <v>47</v>
      </c>
      <c r="C10" s="12" t="s">
        <v>54</v>
      </c>
      <c r="D10" s="12" t="s">
        <v>49</v>
      </c>
      <c r="E10" s="12" t="s">
        <v>81</v>
      </c>
      <c r="F10" s="30">
        <v>10</v>
      </c>
      <c r="G10" s="24" t="str">
        <f t="shared" si="0"/>
        <v>"quantity": 10</v>
      </c>
      <c r="H10" s="24" t="str">
        <f t="shared" si="1"/>
        <v>{"enabled": true, "name": "WMF PermaDur Inspire frying pan Ø 20 cm", "currentPrice": 30, "categories": "Frying pans", "imageUrls": ["/img/products/cooking/frying-pans/199569/1.jpg", "/img/products/cooking/frying-pans/199569/2.jpg", "/img/products/cooking/frying-pans/199569/3.jpg", "/img/products/cooking/frying-pans/199569/4.jpg"], "quantity": 10</v>
      </c>
      <c r="I10" s="17" t="s">
        <v>102</v>
      </c>
    </row>
    <row r="11" spans="1:9" x14ac:dyDescent="0.3">
      <c r="A11" s="13" t="s">
        <v>64</v>
      </c>
      <c r="B11" s="14" t="s">
        <v>57</v>
      </c>
      <c r="C11" s="14" t="s">
        <v>51</v>
      </c>
      <c r="D11" s="14" t="s">
        <v>49</v>
      </c>
      <c r="E11" s="14" t="s">
        <v>65</v>
      </c>
      <c r="F11" s="30" t="s">
        <v>127</v>
      </c>
      <c r="G11" s="24" t="str">
        <f t="shared" si="0"/>
        <v>"color": "grey"</v>
      </c>
      <c r="H11" s="24" t="str">
        <f t="shared" si="1"/>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v>
      </c>
      <c r="I11" s="17" t="s">
        <v>102</v>
      </c>
    </row>
    <row r="12" spans="1:9" x14ac:dyDescent="0.3">
      <c r="A12" s="13" t="s">
        <v>67</v>
      </c>
      <c r="B12" s="14" t="s">
        <v>57</v>
      </c>
      <c r="C12" s="14" t="s">
        <v>51</v>
      </c>
      <c r="D12" s="14" t="s">
        <v>49</v>
      </c>
      <c r="E12" s="14" t="s">
        <v>65</v>
      </c>
      <c r="F12" s="32" t="str">
        <f>"/"&amp;SUBSTITUTE(LOWER(F5)," ","-")&amp;"-"&amp;F19</f>
        <v>/wmf-permadur-inspire-frying-pan-ø-20-cm-4000530715272</v>
      </c>
      <c r="G12" s="24" t="str">
        <f t="shared" si="0"/>
        <v>"productUrl": "/wmf-permadur-inspire-frying-pan-ø-20-cm-4000530715272"</v>
      </c>
      <c r="H12" s="24" t="str">
        <f t="shared" si="1"/>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v>
      </c>
      <c r="I12" s="17" t="s">
        <v>102</v>
      </c>
    </row>
    <row r="13" spans="1:9" x14ac:dyDescent="0.3">
      <c r="A13" s="13" t="s">
        <v>68</v>
      </c>
      <c r="B13" s="14" t="s">
        <v>57</v>
      </c>
      <c r="C13" s="14" t="s">
        <v>51</v>
      </c>
      <c r="D13" s="14" t="s">
        <v>49</v>
      </c>
      <c r="E13" s="14" t="s">
        <v>65</v>
      </c>
      <c r="F13" s="30" t="s">
        <v>4</v>
      </c>
      <c r="G13" s="24" t="str">
        <f t="shared" si="0"/>
        <v>"brand": "WMF"</v>
      </c>
      <c r="H13" s="24" t="str">
        <f t="shared" si="1"/>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v>
      </c>
      <c r="I13" s="17" t="s">
        <v>102</v>
      </c>
    </row>
    <row r="14" spans="1:9" x14ac:dyDescent="0.3">
      <c r="A14" s="13" t="s">
        <v>69</v>
      </c>
      <c r="B14" s="14" t="s">
        <v>57</v>
      </c>
      <c r="C14" s="14" t="s">
        <v>51</v>
      </c>
      <c r="D14" s="14" t="s">
        <v>49</v>
      </c>
      <c r="E14" s="14" t="s">
        <v>65</v>
      </c>
      <c r="F14" s="30" t="s">
        <v>123</v>
      </c>
      <c r="G14" s="24" t="str">
        <f t="shared" si="0"/>
        <v>"manufacturer": "WMF Corp"</v>
      </c>
      <c r="H14" s="24" t="str">
        <f t="shared" si="1"/>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v>
      </c>
      <c r="I14" s="17" t="s">
        <v>102</v>
      </c>
    </row>
    <row r="15" spans="1:9" x14ac:dyDescent="0.3">
      <c r="A15" s="13" t="s">
        <v>70</v>
      </c>
      <c r="B15" s="14" t="s">
        <v>57</v>
      </c>
      <c r="C15" s="14" t="s">
        <v>51</v>
      </c>
      <c r="D15" s="14" t="s">
        <v>49</v>
      </c>
      <c r="E15" s="14" t="s">
        <v>65</v>
      </c>
      <c r="F15" s="30" t="s">
        <v>110</v>
      </c>
      <c r="G15" s="24" t="str">
        <f t="shared" si="0"/>
        <v>"manufacturerCountry": "Germany"</v>
      </c>
      <c r="H15" s="24" t="str">
        <f t="shared" si="1"/>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v>
      </c>
      <c r="I15" s="17" t="s">
        <v>102</v>
      </c>
    </row>
    <row r="16" spans="1:9" x14ac:dyDescent="0.3">
      <c r="A16" s="11" t="s">
        <v>71</v>
      </c>
      <c r="B16" s="12" t="s">
        <v>47</v>
      </c>
      <c r="C16" s="12" t="s">
        <v>72</v>
      </c>
      <c r="D16" s="12" t="s">
        <v>73</v>
      </c>
      <c r="E16" s="12" t="s">
        <v>80</v>
      </c>
      <c r="F16" s="33"/>
      <c r="G16" s="8"/>
      <c r="H16" s="8"/>
      <c r="I16" s="17" t="s">
        <v>102</v>
      </c>
    </row>
    <row r="17" spans="1:9" x14ac:dyDescent="0.3">
      <c r="F17" s="34"/>
      <c r="G17" s="8"/>
      <c r="H17" s="8"/>
      <c r="I17" s="17" t="s">
        <v>102</v>
      </c>
    </row>
    <row r="18" spans="1:9" x14ac:dyDescent="0.3">
      <c r="A18" s="9" t="s">
        <v>82</v>
      </c>
      <c r="F18" s="33" t="s">
        <v>99</v>
      </c>
      <c r="G18" s="24" t="s">
        <v>120</v>
      </c>
      <c r="H18" s="24" t="str">
        <f>IF(F18="",H15,H15&amp;G18)</f>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v>
      </c>
      <c r="I18" s="17" t="s">
        <v>102</v>
      </c>
    </row>
    <row r="19" spans="1:9" x14ac:dyDescent="0.3">
      <c r="A19" s="11" t="s">
        <v>2</v>
      </c>
      <c r="B19" s="12" t="s">
        <v>47</v>
      </c>
      <c r="C19" s="12" t="s">
        <v>54</v>
      </c>
      <c r="D19" s="12" t="s">
        <v>49</v>
      </c>
      <c r="E19" s="12" t="s">
        <v>83</v>
      </c>
      <c r="F19" s="31">
        <v>4000530715272</v>
      </c>
      <c r="G19" s="24" t="str">
        <f t="shared" ref="G19:G38" si="2">IF(C19="String",$B$1&amp;$A19&amp;$B$1&amp;": "&amp;$B$1&amp;$F19&amp;$B$1,$B$1&amp;$A19&amp;$B$1&amp;": "&amp;$F19)</f>
        <v>"EAN": 4000530715272</v>
      </c>
      <c r="H19" s="24" t="str">
        <f>IF(F19="",H18,H18&amp;G19)</f>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v>
      </c>
      <c r="I19" s="17" t="s">
        <v>102</v>
      </c>
    </row>
    <row r="20" spans="1:9" x14ac:dyDescent="0.3">
      <c r="A20" s="13" t="s">
        <v>88</v>
      </c>
      <c r="B20" s="14" t="s">
        <v>57</v>
      </c>
      <c r="C20" s="14" t="s">
        <v>51</v>
      </c>
      <c r="D20" s="14" t="s">
        <v>49</v>
      </c>
      <c r="E20" s="14"/>
      <c r="F20" s="30" t="s">
        <v>124</v>
      </c>
      <c r="G20" s="24" t="str">
        <f t="shared" si="2"/>
        <v>"collection": "PermaDur Inspire"</v>
      </c>
      <c r="H20" s="24" t="str">
        <f t="shared" ref="H20:H27" si="3">IF(F20="",H19,H19&amp;", "&amp;G20)</f>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v>
      </c>
      <c r="I20" s="17" t="s">
        <v>102</v>
      </c>
    </row>
    <row r="21" spans="1:9" x14ac:dyDescent="0.3">
      <c r="A21" s="13" t="s">
        <v>87</v>
      </c>
      <c r="B21" s="14" t="s">
        <v>57</v>
      </c>
      <c r="C21" s="14" t="s">
        <v>51</v>
      </c>
      <c r="D21" s="14" t="s">
        <v>49</v>
      </c>
      <c r="E21" s="14"/>
      <c r="F21" s="30" t="s">
        <v>29</v>
      </c>
      <c r="G21" s="24" t="str">
        <f t="shared" si="2"/>
        <v>"material": "Aluminium"</v>
      </c>
      <c r="H21" s="24" t="str">
        <f t="shared" si="3"/>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v>
      </c>
      <c r="I21" s="17" t="s">
        <v>102</v>
      </c>
    </row>
    <row r="22" spans="1:9" x14ac:dyDescent="0.3">
      <c r="A22" s="13" t="s">
        <v>86</v>
      </c>
      <c r="B22" s="14" t="s">
        <v>57</v>
      </c>
      <c r="C22" s="14" t="s">
        <v>51</v>
      </c>
      <c r="D22" s="14" t="s">
        <v>49</v>
      </c>
      <c r="E22" s="14"/>
      <c r="F22" s="30"/>
      <c r="G22" s="24" t="str">
        <f t="shared" si="2"/>
        <v>"care": ""</v>
      </c>
      <c r="H22" s="24" t="str">
        <f t="shared" si="3"/>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v>
      </c>
      <c r="I22" s="17" t="s">
        <v>102</v>
      </c>
    </row>
    <row r="23" spans="1:9" ht="30" x14ac:dyDescent="0.3">
      <c r="A23" s="13" t="s">
        <v>66</v>
      </c>
      <c r="B23" s="14" t="s">
        <v>57</v>
      </c>
      <c r="C23" s="14" t="s">
        <v>61</v>
      </c>
      <c r="D23" s="14" t="s">
        <v>49</v>
      </c>
      <c r="E23" s="14" t="s">
        <v>93</v>
      </c>
      <c r="F23" s="30" t="s">
        <v>126</v>
      </c>
      <c r="G23" s="24" t="str">
        <f t="shared" si="2"/>
        <v>"sizes": {"diameter": 20}</v>
      </c>
      <c r="H23" s="24" t="str">
        <f t="shared" si="3"/>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v>
      </c>
      <c r="I23" s="17" t="s">
        <v>102</v>
      </c>
    </row>
    <row r="24" spans="1:9" x14ac:dyDescent="0.3">
      <c r="A24" s="13" t="s">
        <v>85</v>
      </c>
      <c r="B24" s="14" t="s">
        <v>57</v>
      </c>
      <c r="C24" s="14" t="s">
        <v>54</v>
      </c>
      <c r="D24" s="14" t="s">
        <v>49</v>
      </c>
      <c r="E24" s="14" t="s">
        <v>84</v>
      </c>
      <c r="F24" s="30">
        <v>1</v>
      </c>
      <c r="G24" s="24" t="str">
        <f t="shared" si="2"/>
        <v>"setSize": 1</v>
      </c>
      <c r="H24" s="24" t="str">
        <f t="shared" si="3"/>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v>
      </c>
      <c r="I24" s="17" t="s">
        <v>102</v>
      </c>
    </row>
    <row r="25" spans="1:9" x14ac:dyDescent="0.3">
      <c r="A25" s="13" t="s">
        <v>89</v>
      </c>
      <c r="B25" s="14" t="s">
        <v>57</v>
      </c>
      <c r="C25" s="14" t="s">
        <v>54</v>
      </c>
      <c r="D25" s="14" t="s">
        <v>49</v>
      </c>
      <c r="E25" s="14" t="s">
        <v>111</v>
      </c>
      <c r="F25" s="30"/>
      <c r="G25" s="24" t="str">
        <f t="shared" si="2"/>
        <v xml:space="preserve">"capacity": </v>
      </c>
      <c r="H25" s="24" t="str">
        <f t="shared" si="3"/>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v>
      </c>
      <c r="I25" s="17" t="s">
        <v>102</v>
      </c>
    </row>
    <row r="26" spans="1:9" x14ac:dyDescent="0.3">
      <c r="A26" s="13" t="s">
        <v>90</v>
      </c>
      <c r="B26" s="14" t="s">
        <v>57</v>
      </c>
      <c r="C26" s="14" t="s">
        <v>54</v>
      </c>
      <c r="D26" s="14" t="s">
        <v>49</v>
      </c>
      <c r="E26" s="14" t="s">
        <v>92</v>
      </c>
      <c r="F26" s="30"/>
      <c r="G26" s="24" t="str">
        <f t="shared" si="2"/>
        <v xml:space="preserve">"power": </v>
      </c>
      <c r="H26" s="24" t="str">
        <f t="shared" si="3"/>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v>
      </c>
      <c r="I26" s="17" t="s">
        <v>102</v>
      </c>
    </row>
    <row r="27" spans="1:9" x14ac:dyDescent="0.3">
      <c r="A27" s="13" t="s">
        <v>91</v>
      </c>
      <c r="B27" s="14" t="s">
        <v>57</v>
      </c>
      <c r="C27" s="14" t="s">
        <v>54</v>
      </c>
      <c r="D27" s="14" t="s">
        <v>49</v>
      </c>
      <c r="E27" s="14" t="s">
        <v>92</v>
      </c>
      <c r="F27" s="30"/>
      <c r="G27" s="24" t="str">
        <f t="shared" si="2"/>
        <v xml:space="preserve">"voltage": </v>
      </c>
      <c r="H27" s="24" t="str">
        <f t="shared" si="3"/>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v>
      </c>
      <c r="I27" s="17" t="s">
        <v>102</v>
      </c>
    </row>
    <row r="28" spans="1:9" x14ac:dyDescent="0.3">
      <c r="A28" s="13" t="s">
        <v>112</v>
      </c>
      <c r="B28" s="14" t="s">
        <v>57</v>
      </c>
      <c r="C28" s="29" t="s">
        <v>48</v>
      </c>
      <c r="D28" s="14" t="s">
        <v>49</v>
      </c>
      <c r="E28" s="14"/>
      <c r="F28" s="23"/>
      <c r="G28" s="24" t="str">
        <f t="shared" si="2"/>
        <v xml:space="preserve">"inPromo": </v>
      </c>
      <c r="H28" s="24" t="str">
        <f t="shared" ref="H28:H37" si="4">IF(F28="",H27,H27&amp;", "&amp;G28)</f>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v>
      </c>
      <c r="I28" s="17" t="s">
        <v>102</v>
      </c>
    </row>
    <row r="29" spans="1:9" x14ac:dyDescent="0.3">
      <c r="A29" s="13" t="s">
        <v>113</v>
      </c>
      <c r="B29" s="14" t="s">
        <v>57</v>
      </c>
      <c r="C29" s="29" t="s">
        <v>61</v>
      </c>
      <c r="D29" s="14" t="s">
        <v>49</v>
      </c>
      <c r="E29" s="14"/>
      <c r="F29" s="30"/>
      <c r="G29" s="24" t="str">
        <f t="shared" si="2"/>
        <v xml:space="preserve">"similarProducts": </v>
      </c>
      <c r="H29" s="24" t="str">
        <f t="shared" si="4"/>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v>
      </c>
      <c r="I29" s="17" t="s">
        <v>102</v>
      </c>
    </row>
    <row r="30" spans="1:9" x14ac:dyDescent="0.3">
      <c r="A30" s="13" t="s">
        <v>114</v>
      </c>
      <c r="B30" s="14" t="s">
        <v>57</v>
      </c>
      <c r="C30" s="29" t="s">
        <v>61</v>
      </c>
      <c r="D30" s="14" t="s">
        <v>49</v>
      </c>
      <c r="E30" s="14"/>
      <c r="F30" s="30"/>
      <c r="G30" s="24" t="str">
        <f t="shared" si="2"/>
        <v xml:space="preserve">"crossSellingProducts": </v>
      </c>
      <c r="H30" s="24" t="str">
        <f t="shared" si="4"/>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v>
      </c>
      <c r="I30" s="17" t="s">
        <v>102</v>
      </c>
    </row>
    <row r="31" spans="1:9" x14ac:dyDescent="0.3">
      <c r="A31" s="29" t="s">
        <v>115</v>
      </c>
      <c r="B31" s="14" t="s">
        <v>57</v>
      </c>
      <c r="C31" s="29" t="s">
        <v>48</v>
      </c>
      <c r="D31" s="14" t="s">
        <v>49</v>
      </c>
      <c r="E31" s="14"/>
      <c r="F31" s="23" t="s">
        <v>128</v>
      </c>
      <c r="G31" s="24" t="str">
        <f t="shared" si="2"/>
        <v>"fragile": false</v>
      </c>
      <c r="H31" s="24" t="str">
        <f t="shared" si="4"/>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"fragile": false</v>
      </c>
      <c r="I31" s="17" t="s">
        <v>102</v>
      </c>
    </row>
    <row r="32" spans="1:9" x14ac:dyDescent="0.3">
      <c r="A32" s="29" t="s">
        <v>116</v>
      </c>
      <c r="B32" s="14" t="s">
        <v>57</v>
      </c>
      <c r="C32" s="29" t="s">
        <v>54</v>
      </c>
      <c r="D32" s="14" t="s">
        <v>49</v>
      </c>
      <c r="E32" s="14"/>
      <c r="F32" s="30"/>
      <c r="G32" s="24" t="str">
        <f t="shared" si="2"/>
        <v xml:space="preserve">"rating": </v>
      </c>
      <c r="H32" s="24" t="str">
        <f t="shared" si="4"/>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"fragile": false</v>
      </c>
      <c r="I32" s="17" t="s">
        <v>102</v>
      </c>
    </row>
    <row r="33" spans="1:9" x14ac:dyDescent="0.3">
      <c r="A33" s="29" t="s">
        <v>117</v>
      </c>
      <c r="B33" s="14" t="s">
        <v>57</v>
      </c>
      <c r="C33" s="29" t="s">
        <v>51</v>
      </c>
      <c r="D33" s="14" t="s">
        <v>49</v>
      </c>
      <c r="E33" s="14"/>
      <c r="F33" s="30" t="s">
        <v>129</v>
      </c>
      <c r="G33" s="24" t="str">
        <f t="shared" si="2"/>
        <v>"status": "active"</v>
      </c>
      <c r="H33" s="24" t="str">
        <f t="shared" si="4"/>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"fragile": false, "status": "active"</v>
      </c>
      <c r="I33" s="17" t="s">
        <v>102</v>
      </c>
    </row>
    <row r="34" spans="1:9" x14ac:dyDescent="0.3">
      <c r="A34" s="29" t="s">
        <v>132</v>
      </c>
      <c r="B34" s="14" t="s">
        <v>57</v>
      </c>
      <c r="C34" s="29" t="s">
        <v>51</v>
      </c>
      <c r="D34" s="14" t="s">
        <v>49</v>
      </c>
      <c r="E34" s="14"/>
      <c r="F34" s="30" t="s">
        <v>134</v>
      </c>
      <c r="G34" s="24" t="str">
        <f t="shared" ref="G34:G35" si="5">IF(C34="String",$B$1&amp;$A34&amp;$B$1&amp;": "&amp;$B$1&amp;$F34&amp;$B$1,$B$1&amp;$A34&amp;$B$1&amp;": "&amp;$F34)</f>
        <v>"stoveType": "glass-ceramic, gas, electric and induction stoves"</v>
      </c>
      <c r="H34" s="24" t="str">
        <f t="shared" ref="H34:H35" si="6">IF(F34="",H33,H33&amp;", "&amp;G34)</f>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"fragile": false, "status": "active", "stoveType": "glass-ceramic, gas, electric and induction stoves"</v>
      </c>
      <c r="I34" s="17" t="s">
        <v>102</v>
      </c>
    </row>
    <row r="35" spans="1:9" x14ac:dyDescent="0.3">
      <c r="A35" s="29" t="s">
        <v>133</v>
      </c>
      <c r="B35" s="14" t="s">
        <v>57</v>
      </c>
      <c r="C35" s="29" t="s">
        <v>51</v>
      </c>
      <c r="D35" s="14" t="s">
        <v>49</v>
      </c>
      <c r="E35" s="14"/>
      <c r="F35" s="23" t="s">
        <v>101</v>
      </c>
      <c r="G35" s="24" t="str">
        <f t="shared" si="5"/>
        <v>"inductionCompatibale": "true"</v>
      </c>
      <c r="H35" s="24" t="str">
        <f>IF(F35="",H34,H34&amp;", "&amp;G35)</f>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"fragile": false, "status": "active", "stoveType": "glass-ceramic, gas, electric and induction stoves", "inductionCompatibale": "true"</v>
      </c>
      <c r="I35" s="17" t="s">
        <v>102</v>
      </c>
    </row>
    <row r="36" spans="1:9" x14ac:dyDescent="0.3">
      <c r="A36" s="29" t="s">
        <v>118</v>
      </c>
      <c r="B36" s="14" t="s">
        <v>57</v>
      </c>
      <c r="C36" s="29" t="s">
        <v>51</v>
      </c>
      <c r="D36" s="14" t="s">
        <v>49</v>
      </c>
      <c r="E36" s="14"/>
      <c r="F36" s="30" t="s">
        <v>125</v>
      </c>
      <c r="G36" s="24" t="str">
        <f t="shared" si="2"/>
        <v>"buildingMaterial": "Kunststoff"</v>
      </c>
      <c r="H36" s="24" t="str">
        <f>IF(F36="",H33,H33&amp;", "&amp;G36)</f>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"fragile": false, "status": "active", "buildingMaterial": "Kunststoff"</v>
      </c>
      <c r="I36" s="17" t="s">
        <v>102</v>
      </c>
    </row>
    <row r="37" spans="1:9" x14ac:dyDescent="0.3">
      <c r="A37" s="29" t="s">
        <v>119</v>
      </c>
      <c r="B37" s="14" t="s">
        <v>57</v>
      </c>
      <c r="C37" s="14" t="s">
        <v>61</v>
      </c>
      <c r="D37" s="14" t="s">
        <v>49</v>
      </c>
      <c r="E37" s="14"/>
      <c r="F37" s="23" t="s">
        <v>131</v>
      </c>
      <c r="G37" s="24" t="str">
        <f t="shared" si="2"/>
        <v>"productHighlights": ["3-layer PermaDur non-stick coating, PFOA free", "Aluminium base, suitable for induction", "wide pouring rim for pour out liquids without drips", "plastic handle with flame guard", "Easy to clean"]</v>
      </c>
      <c r="H37" s="24" t="str">
        <f t="shared" si="4"/>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"fragile": false, "status": "active", "buildingMaterial": "Kunststoff", "productHighlights": ["3-layer PermaDur non-stick coating, PFOA free", "Aluminium base, suitable for induction", "wide pouring rim for pour out liquids without drips", "plastic handle with flame guard", "Easy to clean"]</v>
      </c>
      <c r="I37" s="17" t="s">
        <v>102</v>
      </c>
    </row>
    <row r="38" spans="1:9" ht="63.6" customHeight="1" x14ac:dyDescent="0.3">
      <c r="A38" s="13" t="s">
        <v>107</v>
      </c>
      <c r="B38" s="14" t="s">
        <v>57</v>
      </c>
      <c r="C38" s="14" t="s">
        <v>61</v>
      </c>
      <c r="D38" s="14" t="s">
        <v>49</v>
      </c>
      <c r="E38" s="14"/>
      <c r="F38" s="23" t="s">
        <v>130</v>
      </c>
      <c r="G38" s="24" t="str">
        <f t="shared" si="2"/>
        <v>"productDescription": ["Be convinced every day: The saucepans and serving pans in the WMF Collection PermaDur Inspire are real generalists in the kitchen. The long-lasting 3-layer PermaDur non-stick coating from WMF makes any culinary wish possible, from low-fat, gentle baking to hearty roasts. With the extra tall, large saucepans, it's no problem to prepare family-size portions of chilli con carne or ratatouille. The bodies, which are made of high quality and induction-safe aluminium, are excellent for directing and storing the heat and this ensures even roasting and cooking results. The pans are not only very easy to clean, they also enrich the appearance of every hob due to their look."]</v>
      </c>
      <c r="H38" s="24" t="str">
        <f>IF(F38="",H37,H37&amp;", "&amp;G38)</f>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"fragile": false, "status": "active", "buildingMaterial": "Kunststoff", "productHighlights": ["3-layer PermaDur non-stick coating, PFOA free", "Aluminium base, suitable for induction", "wide pouring rim for pour out liquids without drips", "plastic handle with flame guard", "Easy to clean"], "productDescription": ["Be convinced every day: The saucepans and serving pans in the WMF Collection PermaDur Inspire are real generalists in the kitchen. The long-lasting 3-layer PermaDur non-stick coating from WMF makes any culinary wish possible, from low-fat, gentle baking to hearty roasts. With the extra tall, large saucepans, it's no problem to prepare family-size portions of chilli con carne or ratatouille. The bodies, which are made of high quality and induction-safe aluminium, are excellent for directing and storing the heat and this ensures even roasting and cooking results. The pans are not only very easy to clean, they also enrich the appearance of every hob due to their look."]</v>
      </c>
      <c r="I38" s="17" t="s">
        <v>102</v>
      </c>
    </row>
    <row r="39" spans="1:9" x14ac:dyDescent="0.3">
      <c r="F39" s="33" t="s">
        <v>99</v>
      </c>
      <c r="G39" s="24" t="s">
        <v>100</v>
      </c>
      <c r="H39" s="24" t="str">
        <f>IF(F39="",H38,H38&amp;G39)</f>
        <v>{"enabled": true, "name": "WMF PermaDur Inspire frying pan Ø 20 cm", "currentPrice": 30, "categories": "Frying pans", "imageUrls": ["/img/products/cooking/frying-pans/199569/1.jpg", "/img/products/cooking/frying-pans/199569/2.jpg", "/img/products/cooking/frying-pans/199569/3.jpg", "/img/products/cooking/frying-pans/199569/4.jpg"], "quantity": 10, "color": "grey", "productUrl": "/wmf-permadur-inspire-frying-pan-ø-20-cm-4000530715272", "brand": "WMF", "manufacturer": "WMF Corp", "manufacturerCountry": "Germany", "myCustomParams":{"EAN": 4000530715272, "collection": "PermaDur Inspire", "material": "Aluminium", "sizes": {"diameter": 20}, "setSize": 1, "fragile": false, "status": "active", "buildingMaterial": "Kunststoff", "productHighlights": ["3-layer PermaDur non-stick coating, PFOA free", "Aluminium base, suitable for induction", "wide pouring rim for pour out liquids without drips", "plastic handle with flame guard", "Easy to clean"], "productDescription": ["Be convinced every day: The saucepans and serving pans in the WMF Collection PermaDur Inspire are real generalists in the kitchen. The long-lasting 3-layer PermaDur non-stick coating from WMF makes any culinary wish possible, from low-fat, gentle baking to hearty roasts. With the extra tall, large saucepans, it's no problem to prepare family-size portions of chilli con carne or ratatouille. The bodies, which are made of high quality and induction-safe aluminium, are excellent for directing and storing the heat and this ensures even roasting and cooking results. The pans are not only very easy to clean, they also enrich the appearance of every hob due to their look."]} }</v>
      </c>
      <c r="I39" s="17" t="s">
        <v>102</v>
      </c>
    </row>
    <row r="40" spans="1:9" x14ac:dyDescent="0.3">
      <c r="H40" s="8"/>
      <c r="I40" s="17"/>
    </row>
    <row r="41" spans="1:9" ht="73.8" customHeight="1" thickBot="1" x14ac:dyDescent="0.35">
      <c r="G41" s="18"/>
      <c r="H41" s="21" t="s">
        <v>105</v>
      </c>
      <c r="I41" s="17" t="s">
        <v>102</v>
      </c>
    </row>
    <row r="42" spans="1:9" ht="104.4" customHeight="1" thickTop="1" thickBot="1" x14ac:dyDescent="0.35">
      <c r="G42" s="15" t="s">
        <v>106</v>
      </c>
      <c r="H42" s="22" t="s">
        <v>136</v>
      </c>
      <c r="I42" s="17" t="s">
        <v>102</v>
      </c>
    </row>
    <row r="43" spans="1:9" ht="16.2" thickTop="1" x14ac:dyDescent="0.3"/>
  </sheetData>
  <dataValidations count="2">
    <dataValidation type="list" allowBlank="1" showInputMessage="1" showErrorMessage="1" sqref="F33" xr:uid="{7DCB4AAF-3AF3-4F94-A6D3-7988B95D8B88}">
      <formula1>"active, selout, seasonal, blocked"</formula1>
    </dataValidation>
    <dataValidation type="list" allowBlank="1" showInputMessage="1" showErrorMessage="1" sqref="F31 F4 F28 F35" xr:uid="{D6A744A8-5A72-48C3-9E10-6F77FB00FDFF}">
      <formula1>"'true, 'false"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Format_data">
                <anchor moveWithCells="1" sizeWithCells="1">
                  <from>
                    <xdr:col>6</xdr:col>
                    <xdr:colOff>99060</xdr:colOff>
                    <xdr:row>40</xdr:row>
                    <xdr:rowOff>60960</xdr:rowOff>
                  </from>
                  <to>
                    <xdr:col>6</xdr:col>
                    <xdr:colOff>1219200</xdr:colOff>
                    <xdr:row>40</xdr:row>
                    <xdr:rowOff>891540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Межерицкий Владислав</dc:creator>
  <cp:lastModifiedBy>Межерицкий Владислав</cp:lastModifiedBy>
  <dcterms:created xsi:type="dcterms:W3CDTF">2020-01-09T09:24:19Z</dcterms:created>
  <dcterms:modified xsi:type="dcterms:W3CDTF">2020-01-11T11:35:41Z</dcterms:modified>
</cp:coreProperties>
</file>