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_rels/sheet2.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comments2.xml" ContentType="application/vnd.openxmlformats-officedocument.spreadsheetml.comments+xml"/>
  <Override PartName="/xl/drawings/vmlDrawing1.vml" ContentType="application/vnd.openxmlformats-officedocument.vmlDrawing"/>
  <Override PartName="/xl/drawings/drawing1.xml" ContentType="application/vnd.openxmlformats-officedocument.drawing+xml"/>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1" activeTab="1"/>
  </bookViews>
  <sheets>
    <sheet name="Sheet1" sheetId="1" state="hidden" r:id="rId3"/>
    <sheet name="Sheet2" sheetId="2" state="visible" r:id="rId4"/>
  </sheets>
  <definedNames>
    <definedName function="true" hidden="false" name="Module1.Format_data" vbProcedure="true"/>
  </definedNames>
  <calcPr iterateCount="100" refMode="A1" iterate="false" iterateDelta="0.0001"/>
  <extLst>
    <ext xmlns:loext="http://schemas.libreoffice.org/" uri="{7626C862-2A13-11E5-B345-FEFF819CDC9F}">
      <loext:extCalcPr stringRefSyntax="ExcelA1"/>
    </ext>
  </extLst>
</workbook>
</file>

<file path=xl/comments2.xml><?xml version="1.0" encoding="utf-8"?>
<comments xmlns="http://schemas.openxmlformats.org/spreadsheetml/2006/main" xmlns:xdr="http://schemas.openxmlformats.org/drawingml/2006/spreadsheetDrawing">
  <authors>
    <author> </author>
  </authors>
  <commentList>
    <comment ref="F6" authorId="0">
      <text>
        <r>
          <rPr>
            <b val="true"/>
            <sz val="9"/>
            <color rgb="FF000000"/>
            <rFont val="Tahoma"/>
            <family val="2"/>
            <charset val="204"/>
          </rPr>
          <t xml:space="preserve">Межерицкий Владислав:
</t>
        </r>
        <r>
          <rPr>
            <sz val="9"/>
            <color rgb="FF000000"/>
            <rFont val="Tahoma"/>
            <family val="2"/>
            <charset val="204"/>
          </rPr>
          <t xml:space="preserve">без копеек</t>
        </r>
      </text>
    </comment>
    <comment ref="F7" authorId="0">
      <text>
        <r>
          <rPr>
            <b val="true"/>
            <sz val="9"/>
            <color rgb="FF000000"/>
            <rFont val="Tahoma"/>
            <family val="2"/>
            <charset val="204"/>
          </rPr>
          <t xml:space="preserve">Межерицкий Владислав:
</t>
        </r>
        <r>
          <rPr>
            <sz val="9"/>
            <color rgb="FF000000"/>
            <rFont val="Tahoma"/>
            <family val="2"/>
            <charset val="204"/>
          </rPr>
          <t xml:space="preserve">без копеек</t>
        </r>
      </text>
    </comment>
    <comment ref="F8" authorId="0">
      <text>
        <r>
          <rPr>
            <b val="true"/>
            <sz val="9"/>
            <color rgb="FF000000"/>
            <rFont val="Tahoma"/>
            <family val="2"/>
            <charset val="204"/>
          </rPr>
          <t xml:space="preserve">Межерицкий Владислав:
</t>
        </r>
        <r>
          <rPr>
            <sz val="9"/>
            <color rgb="FF000000"/>
            <rFont val="Tahoma"/>
            <family val="2"/>
            <charset val="204"/>
          </rPr>
          <t xml:space="preserve">- самая нижняя для этого продукта
- с маленькой буквы и через дефис
</t>
        </r>
      </text>
    </comment>
    <comment ref="F9" authorId="0">
      <text>
        <r>
          <rPr>
            <b val="true"/>
            <sz val="9"/>
            <color rgb="FF000000"/>
            <rFont val="Tahoma"/>
            <family val="2"/>
            <charset val="204"/>
          </rPr>
          <t xml:space="preserve">Межерицкий Владислав:
</t>
        </r>
        <r>
          <rPr>
            <sz val="9"/>
            <color rgb="FF000000"/>
            <rFont val="Tahoma"/>
            <family val="2"/>
            <charset val="204"/>
          </rPr>
          <t xml:space="preserve">массив строк
путь в папке Public/…/
(начинать с img/…)</t>
        </r>
      </text>
    </comment>
    <comment ref="F12" authorId="0">
      <text>
        <r>
          <rPr>
            <b val="true"/>
            <sz val="9"/>
            <color rgb="FF000000"/>
            <rFont val="Tahoma"/>
            <family val="2"/>
            <charset val="204"/>
          </rPr>
          <t xml:space="preserve">Межерицкий Владислав:
</t>
        </r>
        <r>
          <rPr>
            <sz val="9"/>
            <color rgb="FF000000"/>
            <rFont val="Tahoma"/>
            <family val="2"/>
            <charset val="204"/>
          </rPr>
          <t xml:space="preserve">don't touch!</t>
        </r>
      </text>
    </comment>
    <comment ref="F23" authorId="0">
      <text>
        <r>
          <rPr>
            <b val="true"/>
            <sz val="9"/>
            <color rgb="FF000000"/>
            <rFont val="Tahoma"/>
            <family val="2"/>
            <charset val="204"/>
          </rPr>
          <t xml:space="preserve">Межерицкий Владислав:
</t>
        </r>
        <r>
          <rPr>
            <sz val="9"/>
            <color rgb="FF000000"/>
            <rFont val="Tahoma"/>
            <family val="2"/>
            <charset val="204"/>
          </rPr>
          <t xml:space="preserve">Object</t>
        </r>
      </text>
    </comment>
    <comment ref="F37" authorId="0">
      <text>
        <r>
          <rPr>
            <b val="true"/>
            <sz val="9"/>
            <color rgb="FF000000"/>
            <rFont val="Tahoma"/>
            <family val="2"/>
            <charset val="204"/>
          </rPr>
          <t xml:space="preserve">Межерицкий Владислав:
</t>
        </r>
        <r>
          <rPr>
            <sz val="9"/>
            <color rgb="FF000000"/>
            <rFont val="Tahoma"/>
            <family val="2"/>
            <charset val="204"/>
          </rPr>
          <t xml:space="preserve">array of strings</t>
        </r>
      </text>
    </comment>
    <comment ref="F38" authorId="0">
      <text>
        <r>
          <rPr>
            <b val="true"/>
            <sz val="9"/>
            <color rgb="FF000000"/>
            <rFont val="Tahoma"/>
            <family val="2"/>
            <charset val="204"/>
          </rPr>
          <t xml:space="preserve">Межерицкий Владислав:
</t>
        </r>
        <r>
          <rPr>
            <sz val="9"/>
            <color rgb="FF000000"/>
            <rFont val="Tahoma"/>
            <family val="2"/>
            <charset val="204"/>
          </rPr>
          <t xml:space="preserve">array of strings</t>
        </r>
      </text>
    </comment>
  </commentList>
</comments>
</file>

<file path=xl/sharedStrings.xml><?xml version="1.0" encoding="utf-8"?>
<sst xmlns="http://schemas.openxmlformats.org/spreadsheetml/2006/main" count="286" uniqueCount="138">
  <si>
    <t xml:space="preserve">SKU:</t>
  </si>
  <si>
    <t xml:space="preserve">18.7587.6040</t>
  </si>
  <si>
    <t xml:space="preserve">Highlights</t>
  </si>
  <si>
    <t xml:space="preserve">Silitan non stick coating
Long-lasting ceramic coating
Induction-suitable aluminum bottom
Plastic handle with flame guard
Wide pouring rim</t>
  </si>
  <si>
    <t xml:space="preserve">EAN</t>
  </si>
  <si>
    <t xml:space="preserve">Product Description</t>
  </si>
  <si>
    <t xml:space="preserve">Ob Hobby- oder Profikoch, ob Spiegelei mit Speck oder Haute Cuisine: Der Klassiker unter den Pfannen darf in keiner Küche fehlen. Die Silit Stielpfannen sind aus hochwertigen Materialien gefertigt und verfügen über beste Wärmeeigenschaften. Einfach in der Handhabung, eignen sie sich zur Zubereitung verschiedenster Gerichte und brauchen dabei stets nur wenig Fett zum Anbraten.
Die Silit Pfannen-Kollektion Belluna macht den Küchenalltag ein Stückchen bunter und das Braten schneller, gleichmäßiger und besser. Dabei verzaubert die langlebige Außenbeschichtung aus Keramik gleich auf den ersten Blick in den Farben Blau, Grün und Rosé mit einem markanten Struktureffekt sowie einer sehr einfachen Reinigung. Im Pfanneninneren begeistert die PFOA-freie Silitan Antihaftbeschichtung mit besten Antihafteigenschaften - ob beim fettarmen Zubereiten von Gemüse, dem schonenden Braten delikater Fischfilets oder dem kurzen, heißen Angrillen saftiger Steaks. Und dies selbstverständlich auf jedem Herd, auch bei Induktion.</t>
  </si>
  <si>
    <t xml:space="preserve">Brand</t>
  </si>
  <si>
    <t xml:space="preserve">WMF</t>
  </si>
  <si>
    <t xml:space="preserve">Collection</t>
  </si>
  <si>
    <t xml:space="preserve">Black Line</t>
  </si>
  <si>
    <t xml:space="preserve">Size sets</t>
  </si>
  <si>
    <t xml:space="preserve">1-pc.</t>
  </si>
  <si>
    <t xml:space="preserve">Material</t>
  </si>
  <si>
    <t xml:space="preserve">Cromargan® 18/10 stainless steel</t>
  </si>
  <si>
    <t xml:space="preserve">Material property</t>
  </si>
  <si>
    <t xml:space="preserve">Stainless steel, polished</t>
  </si>
  <si>
    <t xml:space="preserve">SKU</t>
  </si>
  <si>
    <t xml:space="preserve">article code</t>
  </si>
  <si>
    <t xml:space="preserve">Production</t>
  </si>
  <si>
    <t xml:space="preserve">Engineered in Germany</t>
  </si>
  <si>
    <t xml:space="preserve">EAN code (штрих код товара)</t>
  </si>
  <si>
    <t xml:space="preserve">Length (cm)</t>
  </si>
  <si>
    <t xml:space="preserve">Color</t>
  </si>
  <si>
    <t xml:space="preserve">black, stainless steel</t>
  </si>
  <si>
    <t xml:space="preserve">Care</t>
  </si>
  <si>
    <t xml:space="preserve">Dishwasher safe</t>
  </si>
  <si>
    <t xml:space="preserve">Designer</t>
  </si>
  <si>
    <t xml:space="preserve">Metz &amp; Kindler Produktdesign</t>
  </si>
  <si>
    <t xml:space="preserve">Design Award</t>
  </si>
  <si>
    <t xml:space="preserve">red dot award Design Zentrum NRW 2004</t>
  </si>
  <si>
    <t xml:space="preserve">21.1030.2247</t>
  </si>
  <si>
    <t xml:space="preserve">Silit</t>
  </si>
  <si>
    <t xml:space="preserve">Belluna</t>
  </si>
  <si>
    <t xml:space="preserve">Scope of delivery</t>
  </si>
  <si>
    <t xml:space="preserve">1x frying pan</t>
  </si>
  <si>
    <t xml:space="preserve">Aluminium</t>
  </si>
  <si>
    <t xml:space="preserve">coated, PFOA free</t>
  </si>
  <si>
    <t xml:space="preserve">Building material</t>
  </si>
  <si>
    <t xml:space="preserve">Keramik, Kunststoff</t>
  </si>
  <si>
    <t xml:space="preserve">Product properties</t>
  </si>
  <si>
    <t xml:space="preserve">Easy to clean and care for, Regular tan through optimal heat conduction, Wide pouring rim for drip-free pouring., Plastic handle</t>
  </si>
  <si>
    <t xml:space="preserve">Induction-compatible</t>
  </si>
  <si>
    <t xml:space="preserve">Stove type</t>
  </si>
  <si>
    <t xml:space="preserve">suitable for glass-ceramic, gas, electric and induction stoves</t>
  </si>
  <si>
    <t xml:space="preserve">Diameter (cm)</t>
  </si>
  <si>
    <t xml:space="preserve">"</t>
  </si>
  <si>
    <t xml:space="preserve">{</t>
  </si>
  <si>
    <t xml:space="preserve">}</t>
  </si>
  <si>
    <t xml:space="preserve">CELLS TO BE FILLED</t>
  </si>
  <si>
    <t xml:space="preserve">DO NOT TOUCH</t>
  </si>
  <si>
    <t xml:space="preserve">Property</t>
  </si>
  <si>
    <t xml:space="preserve">Type</t>
  </si>
  <si>
    <t xml:space="preserve">Data type</t>
  </si>
  <si>
    <t xml:space="preserve">Generated</t>
  </si>
  <si>
    <t xml:space="preserve">Description</t>
  </si>
  <si>
    <t xml:space="preserve">VALUE</t>
  </si>
  <si>
    <t xml:space="preserve">Step 1</t>
  </si>
  <si>
    <t xml:space="preserve">Step 2</t>
  </si>
  <si>
    <t xml:space="preserve">enabled</t>
  </si>
  <si>
    <t xml:space="preserve">required</t>
  </si>
  <si>
    <t xml:space="preserve">Boolean</t>
  </si>
  <si>
    <t xml:space="preserve">by user</t>
  </si>
  <si>
    <r>
      <rPr>
        <sz val="12"/>
        <color rgb="FF000000"/>
        <rFont val="Arial"/>
        <family val="2"/>
        <charset val="204"/>
      </rPr>
      <t xml:space="preserve">Default value - </t>
    </r>
    <r>
      <rPr>
        <sz val="12"/>
        <color rgb="FF000000"/>
        <rFont val="Consolas"/>
        <family val="3"/>
        <charset val="204"/>
      </rPr>
      <t xml:space="preserve">true</t>
    </r>
  </si>
  <si>
    <t xml:space="preserve">true</t>
  </si>
  <si>
    <t xml:space="preserve">*</t>
  </si>
  <si>
    <t xml:space="preserve">name</t>
  </si>
  <si>
    <t xml:space="preserve">String</t>
  </si>
  <si>
    <t xml:space="preserve">Name of product to show on store interface</t>
  </si>
  <si>
    <t xml:space="preserve">Salad servers VISION CROM. PR large</t>
  </si>
  <si>
    <t xml:space="preserve">currentPrice</t>
  </si>
  <si>
    <t xml:space="preserve">Number</t>
  </si>
  <si>
    <t xml:space="preserve">Price to buy product</t>
  </si>
  <si>
    <t xml:space="preserve">previousPrice</t>
  </si>
  <si>
    <t xml:space="preserve">optional</t>
  </si>
  <si>
    <t xml:space="preserve">Сrossed out price (if promotion)</t>
  </si>
  <si>
    <t xml:space="preserve">categories</t>
  </si>
  <si>
    <t xml:space="preserve">A low level category to which product is assigned</t>
  </si>
  <si>
    <t xml:space="preserve">salad-servers</t>
  </si>
  <si>
    <t xml:space="preserve">imageUrls</t>
  </si>
  <si>
    <t xml:space="preserve">json</t>
  </si>
  <si>
    <t xml:space="preserve">Array of strings with url paths to product images</t>
  </si>
  <si>
    <t xml:space="preserve">["/img/products/dining/salad-servers/4000530642790/1.jpg", "/img/products/dining/salad-servers/4000530642790/2.jpg"]</t>
  </si>
  <si>
    <t xml:space="preserve">quantity</t>
  </si>
  <si>
    <t xml:space="preserve">Quantity of product in store. default = 0</t>
  </si>
  <si>
    <t xml:space="preserve">color</t>
  </si>
  <si>
    <t xml:space="preserve">-</t>
  </si>
  <si>
    <t xml:space="preserve">stainless steel</t>
  </si>
  <si>
    <t xml:space="preserve">productUrl</t>
  </si>
  <si>
    <t xml:space="preserve">brand</t>
  </si>
  <si>
    <t xml:space="preserve">manufacturer</t>
  </si>
  <si>
    <t xml:space="preserve">manufacturerCountry</t>
  </si>
  <si>
    <t xml:space="preserve">Germany</t>
  </si>
  <si>
    <t xml:space="preserve">date</t>
  </si>
  <si>
    <t xml:space="preserve">Date</t>
  </si>
  <si>
    <t xml:space="preserve">by system</t>
  </si>
  <si>
    <r>
      <rPr>
        <sz val="12"/>
        <color rgb="FF000000"/>
        <rFont val="Arial"/>
        <family val="2"/>
        <charset val="204"/>
      </rPr>
      <t xml:space="preserve">default </t>
    </r>
    <r>
      <rPr>
        <sz val="12"/>
        <color rgb="FF000000"/>
        <rFont val="Consolas"/>
        <family val="3"/>
        <charset val="204"/>
      </rPr>
      <t xml:space="preserve">Date.now()</t>
    </r>
  </si>
  <si>
    <t xml:space="preserve">myCustomParam:</t>
  </si>
  <si>
    <t xml:space="preserve">tech</t>
  </si>
  <si>
    <t xml:space="preserve">, "myCustomParams":{</t>
  </si>
  <si>
    <t xml:space="preserve">штрих код товара</t>
  </si>
  <si>
    <t xml:space="preserve">collection</t>
  </si>
  <si>
    <t xml:space="preserve">Vision</t>
  </si>
  <si>
    <t xml:space="preserve">material</t>
  </si>
  <si>
    <t xml:space="preserve">Cromargan protect</t>
  </si>
  <si>
    <t xml:space="preserve">care</t>
  </si>
  <si>
    <t xml:space="preserve">sizes</t>
  </si>
  <si>
    <t xml:space="preserve">in our case can be different metrics (diameter, length, width etc)</t>
  </si>
  <si>
    <t xml:space="preserve">{"length": 25}</t>
  </si>
  <si>
    <t xml:space="preserve">setSize</t>
  </si>
  <si>
    <t xml:space="preserve">how many pieces in set</t>
  </si>
  <si>
    <t xml:space="preserve">capacity</t>
  </si>
  <si>
    <t xml:space="preserve">in mililiters (for glasses)</t>
  </si>
  <si>
    <t xml:space="preserve">power</t>
  </si>
  <si>
    <t xml:space="preserve">for home appliance</t>
  </si>
  <si>
    <t xml:space="preserve">voltage</t>
  </si>
  <si>
    <t xml:space="preserve">inPromo</t>
  </si>
  <si>
    <t xml:space="preserve">'false</t>
  </si>
  <si>
    <t xml:space="preserve">similarProducts</t>
  </si>
  <si>
    <t xml:space="preserve">crossSellingProducts</t>
  </si>
  <si>
    <t xml:space="preserve">fragile</t>
  </si>
  <si>
    <t xml:space="preserve">false</t>
  </si>
  <si>
    <t xml:space="preserve">rating</t>
  </si>
  <si>
    <t xml:space="preserve">status</t>
  </si>
  <si>
    <t xml:space="preserve">active</t>
  </si>
  <si>
    <t xml:space="preserve">stoveType</t>
  </si>
  <si>
    <t xml:space="preserve">inductionCompatibale</t>
  </si>
  <si>
    <t xml:space="preserve">buildingMaterial</t>
  </si>
  <si>
    <t xml:space="preserve">matt</t>
  </si>
  <si>
    <t xml:space="preserve">productHighlights</t>
  </si>
  <si>
    <t xml:space="preserve">["1 each salad fork and serving spoon.", "Material: Cromargan protects stainless steel matt finish. Rust-free, dishwasher safe, dimensionally stable, sanitary, acid resistant, indestructible and scratch-resistant.", "Extremely scratch resistant: Silverware stays like new for many years and does not indicate any traces of use even when intensively used on a daily basis. WMF Cromargan Protect silverware undergoes a patented process that is exclusive at WMF to strengthen the resistance to traces of use.", "Made by WMF - Production at our own WMF plant in Heshan.", "Design: WMF Atelier (Peter Bäurle). Design prize: red dot award, Good Design."]</t>
  </si>
  <si>
    <t xml:space="preserve">productDescription</t>
  </si>
  <si>
    <t xml:space="preserve">["Mix, pick up, serve: No question, a salad servers are part of a fresh salad. It is always in two parts, and its flat, extremely generously sized bowls make it easy to pick up the salad - in such a way that excess dressing can drip off easily before serving. The long handles of the cutlery ensure comfortable handling and at the same time prevent it from slipping into the salad keys.", "Its unusual length, its slim shape and its silky matt surface immediately catch the eye. No question: The WMF Vision cutlery is something special. Designer Peter Bäurle created cutlery that was both solid and plastic with balanced proportions and an asymmetrical facet at the end of the stem. An eye-catcher is the knife with the forged blade inserted: it can be covered lying or standing on the blade. Your place setting looks very stylish with the many matching serving and supplementary parts."]</t>
  </si>
  <si>
    <t xml:space="preserve">} }</t>
  </si>
  <si>
    <t xml:space="preserve">"Mix, pick up, serve: No question, a salad servers are part of a fresh salad. It is always in two parts, and its flat, extremely generously sized bowls make it easy to pick up the salad - in such a way that excess dressing can drip off easily before serving. The long handles of the cutlery ensure comfortable handling and at the same time prevent it from slipping into the salad keys.", "Its unusual length, its slim shape and its silky matt surface immediately catch the eye. No question: The WMF Vision cutlery is something special. Designer Peter Bäurle created cutlery that was both solid and plastic with balanced proportions and an asymmetrical facet at the end of the stem. An eye-catcher is the knife with the forged blade inserted: it can be covered lying or standing on the blade. Your place setting looks very stylish with the many matching serving and supplementary parts."</t>
  </si>
  <si>
    <t xml:space="preserve">=&gt;</t>
  </si>
  <si>
    <t xml:space="preserve">JSON format =&gt;</t>
  </si>
  <si>
    <t xml:space="preserve">{"enabled": true, "name": "High casserole Ø 16 cm Modesto Line Green", "currentPrice": 73, "previousPrice": 85, "categories": "pots", "imageUrls": ["/img/products/cooking/pots/4004633303350/1.jpg", "/img/products/cooking/pots/4004633303350/2.jpg", "/img/products/cooking/pots/4004633303350/3.jpg"], "quantity": 12, "color": "green", "productUrl": "/high-casserole-ø-16-cm-modesto-line-green-4004633303350", "brand": "Silit", "manufacturer": "WMF Corp", "manufacturerCountry": "Germany", "myCustomParams":{"EAN": 4004633303350, "collection": "Modesto Line", "material": "Silargan", "care": "Dishwasher safe", "sizes": {"diameter": 16}, "setSize": 1, "capacity": 5, "inPromo": 'true, "fragile": false, "status": "active", "productHighlights": ["Ergonomically shaped side handles", "cut resistant", "High-quality stainless steel decorative edge"], "productDescription": ["As versatile as it is popular: everything that needs a lot of liquid to cook can fit into the Silit casserole. And since its edge is particularly high, nothing spurts out when roasting meat. He also takes up pasta, potatoes and dumplings without any problems. Large-volume vegetables such as cauliflower can be blanched very well, the cooked potatoes mashed or pounded directly in the pot. High-quality materials with the best heat properties and the flared rim make working with the Silit meat pots even easier. Practical: The meat pot is part of all 4-piece saucepan sets from Silit.", "Compromising is part of everyday life. With the Modesto Line cookware series made of indestructible and easy-care Silargan®, Silit makes an exception: In a clear, harmonious form, modern design and maximum functionality combine with every single pot in the series in the attractive colors black, blue and green. The ergonomically shaped side handles with generous access ensure safe handling. And thanks to the extra-strong energy-saving floor and the visible cooking lid with an elegant central handle, you can cook with little water, gentle on vitamins and energy-efficiently - without compromise on any stove."]} }</t>
  </si>
</sst>
</file>

<file path=xl/styles.xml><?xml version="1.0" encoding="utf-8"?>
<styleSheet xmlns="http://schemas.openxmlformats.org/spreadsheetml/2006/main">
  <numFmts count="3">
    <numFmt numFmtId="164" formatCode="General"/>
    <numFmt numFmtId="165" formatCode="0"/>
    <numFmt numFmtId="166" formatCode="General"/>
  </numFmts>
  <fonts count="16">
    <font>
      <sz val="11"/>
      <color rgb="FF000000"/>
      <name val="Calibri"/>
      <family val="2"/>
      <charset val="204"/>
    </font>
    <font>
      <sz val="10"/>
      <name val="Arial"/>
      <family val="0"/>
      <charset val="204"/>
    </font>
    <font>
      <sz val="10"/>
      <name val="Arial"/>
      <family val="0"/>
      <charset val="204"/>
    </font>
    <font>
      <sz val="10"/>
      <name val="Arial"/>
      <family val="0"/>
      <charset val="204"/>
    </font>
    <font>
      <sz val="10"/>
      <color rgb="FF1A1A1A"/>
      <name val="Arial"/>
      <family val="2"/>
      <charset val="204"/>
    </font>
    <font>
      <sz val="12"/>
      <color rgb="FF000000"/>
      <name val="Calibri"/>
      <family val="2"/>
      <charset val="204"/>
    </font>
    <font>
      <b val="true"/>
      <sz val="12"/>
      <color rgb="FF000000"/>
      <name val="Calibri"/>
      <family val="2"/>
      <charset val="204"/>
    </font>
    <font>
      <b val="true"/>
      <sz val="12"/>
      <color rgb="FFFFFFFF"/>
      <name val="Arial"/>
      <family val="2"/>
      <charset val="204"/>
    </font>
    <font>
      <b val="true"/>
      <sz val="12"/>
      <color rgb="FFFFFFFF"/>
      <name val="Calibri"/>
      <family val="2"/>
      <charset val="204"/>
    </font>
    <font>
      <sz val="12"/>
      <color rgb="FF000000"/>
      <name val="Consolas"/>
      <family val="3"/>
      <charset val="204"/>
    </font>
    <font>
      <sz val="12"/>
      <color rgb="FF000000"/>
      <name val="Arial"/>
      <family val="2"/>
      <charset val="204"/>
    </font>
    <font>
      <sz val="12"/>
      <color rgb="FFFF0000"/>
      <name val="Calibri"/>
      <family val="2"/>
      <charset val="204"/>
    </font>
    <font>
      <b val="true"/>
      <sz val="20"/>
      <color rgb="FFFF0000"/>
      <name val="Calibri"/>
      <family val="2"/>
      <charset val="204"/>
    </font>
    <font>
      <b val="true"/>
      <sz val="9"/>
      <color rgb="FF000000"/>
      <name val="Tahoma"/>
      <family val="2"/>
      <charset val="204"/>
    </font>
    <font>
      <sz val="9"/>
      <color rgb="FF000000"/>
      <name val="Tahoma"/>
      <family val="2"/>
      <charset val="204"/>
    </font>
    <font>
      <sz val="11"/>
      <color rgb="FF000000"/>
      <name val="Calibri"/>
      <family val="0"/>
      <charset val="1"/>
    </font>
  </fonts>
  <fills count="9">
    <fill>
      <patternFill patternType="none"/>
    </fill>
    <fill>
      <patternFill patternType="gray125"/>
    </fill>
    <fill>
      <patternFill patternType="solid">
        <fgColor rgb="FFFFFF00"/>
        <bgColor rgb="FFFFFF00"/>
      </patternFill>
    </fill>
    <fill>
      <patternFill patternType="solid">
        <fgColor rgb="FFFFFFFF"/>
        <bgColor rgb="FFF0F0F0"/>
      </patternFill>
    </fill>
    <fill>
      <patternFill patternType="solid">
        <fgColor rgb="FFDBDFE0"/>
        <bgColor rgb="FFF0F0F0"/>
      </patternFill>
    </fill>
    <fill>
      <patternFill patternType="solid">
        <fgColor rgb="FFF0F0F0"/>
        <bgColor rgb="FFFFFFFF"/>
      </patternFill>
    </fill>
    <fill>
      <patternFill patternType="solid">
        <fgColor rgb="FFC5E0B4"/>
        <bgColor rgb="FFDBDFE0"/>
      </patternFill>
    </fill>
    <fill>
      <patternFill patternType="solid">
        <fgColor rgb="FF2F5597"/>
        <bgColor rgb="FF666699"/>
      </patternFill>
    </fill>
    <fill>
      <patternFill patternType="solid">
        <fgColor rgb="FF8FAADC"/>
        <bgColor rgb="FF969696"/>
      </patternFill>
    </fill>
  </fills>
  <borders count="4">
    <border diagonalUp="false" diagonalDown="false">
      <left/>
      <right/>
      <top/>
      <bottom/>
      <diagonal/>
    </border>
    <border diagonalUp="false" diagonalDown="false">
      <left style="thin"/>
      <right style="thin"/>
      <top style="thin"/>
      <bottom style="thin"/>
      <diagonal/>
    </border>
    <border diagonalUp="false" diagonalDown="false">
      <left style="thin"/>
      <right style="thin"/>
      <top style="thin"/>
      <bottom/>
      <diagonal/>
    </border>
    <border diagonalUp="false" diagonalDown="false">
      <left style="thick">
        <color rgb="FFFF0000"/>
      </left>
      <right style="thick">
        <color rgb="FFFF0000"/>
      </right>
      <top style="thick">
        <color rgb="FFFF0000"/>
      </top>
      <bottom style="thick">
        <color rgb="FFFF0000"/>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35">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false" indent="0" shrinkToFit="false"/>
      <protection locked="true" hidden="false"/>
    </xf>
    <xf numFmtId="164" fontId="4" fillId="2" borderId="0" xfId="0" applyFont="true" applyBorder="true" applyAlignment="true" applyProtection="false">
      <alignment horizontal="general" vertical="top" textRotation="0" wrapText="false" indent="0" shrinkToFit="false"/>
      <protection locked="true" hidden="false"/>
    </xf>
    <xf numFmtId="164" fontId="4" fillId="3" borderId="0" xfId="0" applyFont="true" applyBorder="true" applyAlignment="true" applyProtection="false">
      <alignment horizontal="right" vertical="top" textRotation="0" wrapText="false" indent="0" shrinkToFit="false"/>
      <protection locked="true" hidden="false"/>
    </xf>
    <xf numFmtId="164" fontId="0" fillId="0" borderId="0" xfId="0" applyFont="true" applyBorder="false" applyAlignment="true" applyProtection="false">
      <alignment horizontal="general" vertical="bottom" textRotation="0" wrapText="true" indent="0" shrinkToFit="false"/>
      <protection locked="true" hidden="false"/>
    </xf>
    <xf numFmtId="165" fontId="4" fillId="3" borderId="0" xfId="0" applyFont="true" applyBorder="true" applyAlignment="true" applyProtection="false">
      <alignment horizontal="right" vertical="top" textRotation="0" wrapText="false" indent="0" shrinkToFit="false"/>
      <protection locked="true" hidden="false"/>
    </xf>
    <xf numFmtId="164" fontId="4" fillId="3" borderId="0" xfId="0" applyFont="true" applyBorder="true" applyAlignment="true" applyProtection="false">
      <alignment horizontal="general" vertical="top" textRotation="0" wrapText="false" indent="0" shrinkToFit="false"/>
      <protection locked="true" hidden="false"/>
    </xf>
    <xf numFmtId="164" fontId="4" fillId="4" borderId="0" xfId="0" applyFont="true" applyBorder="true" applyAlignment="true" applyProtection="false">
      <alignment horizontal="general" vertical="top" textRotation="0" wrapText="false" indent="0" shrinkToFit="false"/>
      <protection locked="true" hidden="false"/>
    </xf>
    <xf numFmtId="164" fontId="4" fillId="4" borderId="0" xfId="0" applyFont="true" applyBorder="true" applyAlignment="true" applyProtection="false">
      <alignment horizontal="right" vertical="top" textRotation="0" wrapText="false" indent="0" shrinkToFit="false"/>
      <protection locked="true" hidden="false"/>
    </xf>
    <xf numFmtId="164" fontId="5" fillId="0" borderId="0" xfId="0" applyFont="true" applyBorder="true" applyAlignment="true" applyProtection="false">
      <alignment horizontal="general" vertical="center" textRotation="0" wrapText="true" indent="0" shrinkToFit="false"/>
      <protection locked="true" hidden="false"/>
    </xf>
    <xf numFmtId="164" fontId="5" fillId="0" borderId="0" xfId="0" applyFont="true" applyBorder="true" applyAlignment="true" applyProtection="true">
      <alignment horizontal="center" vertical="center" textRotation="0" wrapText="true" indent="0" shrinkToFit="false"/>
      <protection locked="true" hidden="false"/>
    </xf>
    <xf numFmtId="164" fontId="5" fillId="5" borderId="0" xfId="0" applyFont="true" applyBorder="true" applyAlignment="true" applyProtection="false">
      <alignment horizontal="center" vertical="center" textRotation="0" wrapText="true" indent="0" shrinkToFit="false"/>
      <protection locked="true" hidden="false"/>
    </xf>
    <xf numFmtId="164" fontId="6" fillId="6" borderId="0" xfId="0" applyFont="true" applyBorder="true" applyAlignment="true" applyProtection="true">
      <alignment horizontal="center" vertical="center" textRotation="0" wrapText="true" indent="0" shrinkToFit="false"/>
      <protection locked="true" hidden="false"/>
    </xf>
    <xf numFmtId="164" fontId="6" fillId="5" borderId="0" xfId="0" applyFont="true" applyBorder="true" applyAlignment="true" applyProtection="false">
      <alignment horizontal="center" vertical="center" textRotation="0" wrapText="true" indent="0" shrinkToFit="false"/>
      <protection locked="true" hidden="false"/>
    </xf>
    <xf numFmtId="164" fontId="7" fillId="7" borderId="1" xfId="0" applyFont="true" applyBorder="true" applyAlignment="true" applyProtection="false">
      <alignment horizontal="center" vertical="center" textRotation="0" wrapText="true" indent="0" shrinkToFit="false"/>
      <protection locked="true" hidden="false"/>
    </xf>
    <xf numFmtId="164" fontId="7" fillId="7" borderId="2" xfId="0" applyFont="true" applyBorder="true" applyAlignment="true" applyProtection="true">
      <alignment horizontal="center" vertical="center" textRotation="0" wrapText="true" indent="0" shrinkToFit="false"/>
      <protection locked="true" hidden="false"/>
    </xf>
    <xf numFmtId="164" fontId="8" fillId="8" borderId="0" xfId="0" applyFont="true" applyBorder="true" applyAlignment="true" applyProtection="false">
      <alignment horizontal="center" vertical="center" textRotation="0" wrapText="true" indent="0" shrinkToFit="false"/>
      <protection locked="true" hidden="false"/>
    </xf>
    <xf numFmtId="164" fontId="9" fillId="2" borderId="1" xfId="0" applyFont="true" applyBorder="true" applyAlignment="true" applyProtection="false">
      <alignment horizontal="left" vertical="center" textRotation="0" wrapText="true" indent="0" shrinkToFit="false"/>
      <protection locked="true" hidden="false"/>
    </xf>
    <xf numFmtId="164" fontId="10" fillId="2" borderId="1" xfId="0" applyFont="true" applyBorder="true" applyAlignment="true" applyProtection="false">
      <alignment horizontal="left" vertical="center" textRotation="0" wrapText="true" indent="0" shrinkToFit="false"/>
      <protection locked="true" hidden="false"/>
    </xf>
    <xf numFmtId="164" fontId="5" fillId="6" borderId="1" xfId="0" applyFont="true" applyBorder="true" applyAlignment="true" applyProtection="true">
      <alignment horizontal="left" vertical="center" textRotation="0" wrapText="false" indent="0" shrinkToFit="false"/>
      <protection locked="false" hidden="false"/>
    </xf>
    <xf numFmtId="166" fontId="5" fillId="5" borderId="0" xfId="0" applyFont="true" applyBorder="true" applyAlignment="true" applyProtection="false">
      <alignment horizontal="general" vertical="center" textRotation="0" wrapText="false" indent="0" shrinkToFit="false"/>
      <protection locked="true" hidden="false"/>
    </xf>
    <xf numFmtId="164" fontId="5" fillId="0" borderId="0" xfId="0" applyFont="true" applyBorder="true" applyAlignment="true" applyProtection="false">
      <alignment horizontal="center" vertical="center" textRotation="0" wrapText="true" indent="0" shrinkToFit="false"/>
      <protection locked="true" hidden="false"/>
    </xf>
    <xf numFmtId="164" fontId="9" fillId="3" borderId="1" xfId="0" applyFont="true" applyBorder="true" applyAlignment="true" applyProtection="false">
      <alignment horizontal="left" vertical="center" textRotation="0" wrapText="true" indent="0" shrinkToFit="false"/>
      <protection locked="true" hidden="false"/>
    </xf>
    <xf numFmtId="164" fontId="10" fillId="3" borderId="1" xfId="0" applyFont="true" applyBorder="true" applyAlignment="true" applyProtection="false">
      <alignment horizontal="left" vertical="center" textRotation="0" wrapText="true" indent="0" shrinkToFit="false"/>
      <protection locked="true" hidden="false"/>
    </xf>
    <xf numFmtId="166" fontId="5" fillId="0" borderId="1" xfId="0" applyFont="true" applyBorder="true" applyAlignment="true" applyProtection="true">
      <alignment horizontal="left" vertical="center" textRotation="0" wrapText="false" indent="0" shrinkToFit="false"/>
      <protection locked="true" hidden="false"/>
    </xf>
    <xf numFmtId="164" fontId="5" fillId="5" borderId="0" xfId="0" applyFont="true" applyBorder="true" applyAlignment="true" applyProtection="true">
      <alignment horizontal="left" vertical="center" textRotation="0" wrapText="false" indent="0" shrinkToFit="false"/>
      <protection locked="true" hidden="false"/>
    </xf>
    <xf numFmtId="164" fontId="5" fillId="0" borderId="0" xfId="0" applyFont="true" applyBorder="true" applyAlignment="true" applyProtection="false">
      <alignment horizontal="general" vertical="center" textRotation="0" wrapText="false" indent="0" shrinkToFit="false"/>
      <protection locked="true" hidden="false"/>
    </xf>
    <xf numFmtId="164" fontId="5" fillId="0" borderId="0" xfId="0" applyFont="true" applyBorder="true" applyAlignment="true" applyProtection="true">
      <alignment horizontal="left" vertical="center" textRotation="0" wrapText="false" indent="0" shrinkToFit="false"/>
      <protection locked="true" hidden="false"/>
    </xf>
    <xf numFmtId="164" fontId="6" fillId="0" borderId="0" xfId="0" applyFont="true" applyBorder="true" applyAlignment="true" applyProtection="false">
      <alignment horizontal="general" vertical="center" textRotation="0" wrapText="true" indent="0" shrinkToFit="false"/>
      <protection locked="true" hidden="false"/>
    </xf>
    <xf numFmtId="165" fontId="5" fillId="6" borderId="1" xfId="0" applyFont="true" applyBorder="true" applyAlignment="true" applyProtection="true">
      <alignment horizontal="left" vertical="center" textRotation="0" wrapText="false" indent="0" shrinkToFit="false"/>
      <protection locked="false" hidden="false"/>
    </xf>
    <xf numFmtId="164" fontId="5" fillId="0" borderId="1" xfId="0" applyFont="true" applyBorder="true" applyAlignment="true" applyProtection="false">
      <alignment horizontal="general" vertical="center" textRotation="0" wrapText="true" indent="0" shrinkToFit="false"/>
      <protection locked="true" hidden="false"/>
    </xf>
    <xf numFmtId="164" fontId="11" fillId="0" borderId="0" xfId="0" applyFont="true" applyBorder="true" applyAlignment="true" applyProtection="false">
      <alignment horizontal="general" vertical="center" textRotation="0" wrapText="true" indent="0" shrinkToFit="false"/>
      <protection locked="true" hidden="false"/>
    </xf>
    <xf numFmtId="164" fontId="12" fillId="0" borderId="0" xfId="0" applyFont="true" applyBorder="true" applyAlignment="true" applyProtection="false">
      <alignment horizontal="center" vertical="center" textRotation="180" wrapText="true" indent="0" shrinkToFit="false"/>
      <protection locked="true" hidden="false"/>
    </xf>
    <xf numFmtId="164" fontId="6" fillId="0" borderId="0" xfId="0" applyFont="true" applyBorder="true" applyAlignment="true" applyProtection="false">
      <alignment horizontal="center" vertical="center" textRotation="0" wrapText="true" indent="0" shrinkToFit="false"/>
      <protection locked="true" hidden="false"/>
    </xf>
    <xf numFmtId="164" fontId="5" fillId="0" borderId="3" xfId="0" applyFont="true" applyBorder="true" applyAlignment="true" applyProtection="true">
      <alignment horizontal="general" vertical="center" textRotation="0" wrapText="true" indent="0" shrinkToFit="false"/>
      <protection locked="fals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5E0B4"/>
      <rgbColor rgb="FF808080"/>
      <rgbColor rgb="FF8FAADC"/>
      <rgbColor rgb="FF993366"/>
      <rgbColor rgb="FFF0F0F0"/>
      <rgbColor rgb="FFCCFFFF"/>
      <rgbColor rgb="FF660066"/>
      <rgbColor rgb="FFFF8080"/>
      <rgbColor rgb="FF0066CC"/>
      <rgbColor rgb="FFDBDFE0"/>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2F5597"/>
      <rgbColor rgb="FF1A1A1A"/>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sharedStrings" Target="sharedStrings.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1.xml"/><Relationship Id="rId3"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B2:F29"/>
  <sheetViews>
    <sheetView showFormulas="false" showGridLines="true" showRowColHeaders="true" showZeros="true" rightToLeft="false" tabSelected="false" showOutlineSymbols="true" defaultGridColor="true" view="normal" topLeftCell="A1" colorId="64" zoomScale="65" zoomScaleNormal="65" zoomScalePageLayoutView="100" workbookViewId="0">
      <selection pane="topLeft" activeCell="E2" activeCellId="0" sqref="E2"/>
    </sheetView>
  </sheetViews>
  <sheetFormatPr defaultRowHeight="14.4" zeroHeight="false" outlineLevelRow="0" outlineLevelCol="0"/>
  <cols>
    <col collapsed="false" customWidth="true" hidden="false" outlineLevel="0" max="1" min="1" style="1" width="8.89"/>
    <col collapsed="false" customWidth="true" hidden="false" outlineLevel="0" max="2" min="2" style="1" width="16.11"/>
    <col collapsed="false" customWidth="true" hidden="false" outlineLevel="0" max="3" min="3" style="1" width="42.44"/>
    <col collapsed="false" customWidth="true" hidden="false" outlineLevel="0" max="4" min="4" style="1" width="24.34"/>
    <col collapsed="false" customWidth="true" hidden="false" outlineLevel="0" max="5" min="5" style="1" width="17.21"/>
    <col collapsed="false" customWidth="true" hidden="false" outlineLevel="0" max="1025" min="6" style="1" width="8.89"/>
  </cols>
  <sheetData>
    <row r="2" customFormat="false" ht="14.4" hidden="false" customHeight="false" outlineLevel="0" collapsed="false">
      <c r="B2" s="2" t="s">
        <v>0</v>
      </c>
      <c r="C2" s="3" t="s">
        <v>1</v>
      </c>
      <c r="E2" s="1" t="s">
        <v>2</v>
      </c>
      <c r="F2" s="4" t="s">
        <v>3</v>
      </c>
    </row>
    <row r="3" customFormat="false" ht="14.4" hidden="false" customHeight="false" outlineLevel="0" collapsed="false">
      <c r="B3" s="2" t="s">
        <v>4</v>
      </c>
      <c r="C3" s="5" t="n">
        <v>4000530576484</v>
      </c>
      <c r="E3" s="1" t="s">
        <v>5</v>
      </c>
      <c r="F3" s="4" t="s">
        <v>6</v>
      </c>
    </row>
    <row r="4" customFormat="false" ht="14.4" hidden="false" customHeight="false" outlineLevel="0" collapsed="false">
      <c r="B4" s="2" t="s">
        <v>7</v>
      </c>
      <c r="C4" s="3" t="s">
        <v>8</v>
      </c>
    </row>
    <row r="5" customFormat="false" ht="14.4" hidden="false" customHeight="false" outlineLevel="0" collapsed="false">
      <c r="B5" s="2" t="s">
        <v>9</v>
      </c>
      <c r="C5" s="3" t="s">
        <v>10</v>
      </c>
    </row>
    <row r="6" customFormat="false" ht="14.4" hidden="false" customHeight="false" outlineLevel="0" collapsed="false">
      <c r="B6" s="2" t="s">
        <v>11</v>
      </c>
      <c r="C6" s="3" t="s">
        <v>12</v>
      </c>
    </row>
    <row r="7" customFormat="false" ht="14.4" hidden="false" customHeight="false" outlineLevel="0" collapsed="false">
      <c r="B7" s="2" t="s">
        <v>13</v>
      </c>
      <c r="C7" s="3" t="s">
        <v>14</v>
      </c>
    </row>
    <row r="8" customFormat="false" ht="14.4" hidden="false" customHeight="false" outlineLevel="0" collapsed="false">
      <c r="B8" s="2" t="s">
        <v>15</v>
      </c>
      <c r="C8" s="3" t="s">
        <v>16</v>
      </c>
      <c r="E8" s="1" t="s">
        <v>17</v>
      </c>
      <c r="F8" s="1" t="s">
        <v>18</v>
      </c>
    </row>
    <row r="9" customFormat="false" ht="14.4" hidden="false" customHeight="false" outlineLevel="0" collapsed="false">
      <c r="B9" s="6" t="s">
        <v>19</v>
      </c>
      <c r="C9" s="3" t="s">
        <v>20</v>
      </c>
      <c r="E9" s="1" t="s">
        <v>4</v>
      </c>
      <c r="F9" s="1" t="s">
        <v>21</v>
      </c>
    </row>
    <row r="10" customFormat="false" ht="14.4" hidden="false" customHeight="false" outlineLevel="0" collapsed="false">
      <c r="B10" s="6" t="s">
        <v>22</v>
      </c>
      <c r="C10" s="3" t="n">
        <v>24</v>
      </c>
      <c r="E10" s="1" t="s">
        <v>7</v>
      </c>
    </row>
    <row r="11" customFormat="false" ht="14.4" hidden="false" customHeight="false" outlineLevel="0" collapsed="false">
      <c r="B11" s="6" t="s">
        <v>23</v>
      </c>
      <c r="C11" s="3" t="s">
        <v>24</v>
      </c>
    </row>
    <row r="12" customFormat="false" ht="14.4" hidden="false" customHeight="false" outlineLevel="0" collapsed="false">
      <c r="B12" s="6" t="s">
        <v>25</v>
      </c>
      <c r="C12" s="3" t="s">
        <v>26</v>
      </c>
    </row>
    <row r="13" customFormat="false" ht="14.4" hidden="false" customHeight="false" outlineLevel="0" collapsed="false">
      <c r="B13" s="6" t="s">
        <v>27</v>
      </c>
      <c r="C13" s="3" t="s">
        <v>28</v>
      </c>
    </row>
    <row r="14" customFormat="false" ht="14.4" hidden="false" customHeight="false" outlineLevel="0" collapsed="false">
      <c r="B14" s="7" t="s">
        <v>29</v>
      </c>
      <c r="C14" s="8" t="s">
        <v>30</v>
      </c>
    </row>
    <row r="17" customFormat="false" ht="14.4" hidden="false" customHeight="false" outlineLevel="0" collapsed="false">
      <c r="B17" s="6" t="s">
        <v>0</v>
      </c>
      <c r="C17" s="3" t="s">
        <v>31</v>
      </c>
    </row>
    <row r="18" customFormat="false" ht="14.4" hidden="false" customHeight="false" outlineLevel="0" collapsed="false">
      <c r="B18" s="6" t="s">
        <v>4</v>
      </c>
      <c r="C18" s="3" t="n">
        <v>4004633302247</v>
      </c>
    </row>
    <row r="19" customFormat="false" ht="14.4" hidden="false" customHeight="false" outlineLevel="0" collapsed="false">
      <c r="B19" s="6" t="s">
        <v>7</v>
      </c>
      <c r="C19" s="3" t="s">
        <v>32</v>
      </c>
    </row>
    <row r="20" customFormat="false" ht="14.4" hidden="false" customHeight="false" outlineLevel="0" collapsed="false">
      <c r="B20" s="6" t="s">
        <v>9</v>
      </c>
      <c r="C20" s="3" t="s">
        <v>33</v>
      </c>
    </row>
    <row r="21" customFormat="false" ht="14.4" hidden="false" customHeight="false" outlineLevel="0" collapsed="false">
      <c r="B21" s="6" t="s">
        <v>11</v>
      </c>
      <c r="C21" s="3" t="s">
        <v>12</v>
      </c>
    </row>
    <row r="22" customFormat="false" ht="14.4" hidden="false" customHeight="false" outlineLevel="0" collapsed="false">
      <c r="B22" s="6" t="s">
        <v>34</v>
      </c>
      <c r="C22" s="3" t="s">
        <v>35</v>
      </c>
    </row>
    <row r="23" customFormat="false" ht="14.4" hidden="false" customHeight="false" outlineLevel="0" collapsed="false">
      <c r="B23" s="6" t="s">
        <v>13</v>
      </c>
      <c r="C23" s="3" t="s">
        <v>36</v>
      </c>
    </row>
    <row r="24" customFormat="false" ht="14.4" hidden="false" customHeight="false" outlineLevel="0" collapsed="false">
      <c r="B24" s="6" t="s">
        <v>15</v>
      </c>
      <c r="C24" s="3" t="s">
        <v>37</v>
      </c>
    </row>
    <row r="25" customFormat="false" ht="14.4" hidden="false" customHeight="false" outlineLevel="0" collapsed="false">
      <c r="B25" s="6" t="s">
        <v>38</v>
      </c>
      <c r="C25" s="3" t="s">
        <v>39</v>
      </c>
    </row>
    <row r="26" customFormat="false" ht="14.4" hidden="false" customHeight="false" outlineLevel="0" collapsed="false">
      <c r="B26" s="6" t="s">
        <v>40</v>
      </c>
      <c r="C26" s="3" t="s">
        <v>41</v>
      </c>
    </row>
    <row r="27" customFormat="false" ht="14.4" hidden="false" customHeight="false" outlineLevel="0" collapsed="false">
      <c r="B27" s="6" t="s">
        <v>42</v>
      </c>
      <c r="C27" s="3" t="s">
        <v>42</v>
      </c>
    </row>
    <row r="28" customFormat="false" ht="14.4" hidden="false" customHeight="false" outlineLevel="0" collapsed="false">
      <c r="B28" s="6" t="s">
        <v>43</v>
      </c>
      <c r="C28" s="3" t="s">
        <v>44</v>
      </c>
    </row>
    <row r="29" customFormat="false" ht="14.4" hidden="false" customHeight="false" outlineLevel="0" collapsed="false">
      <c r="B29" s="7" t="s">
        <v>45</v>
      </c>
      <c r="C29" s="8" t="n">
        <v>24</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1:I43"/>
  <sheetViews>
    <sheetView showFormulas="false" showGridLines="true" showRowColHeaders="true" showZeros="true" rightToLeft="false" tabSelected="true" showOutlineSymbols="true" defaultGridColor="true" view="normal" topLeftCell="A1" colorId="64" zoomScale="65" zoomScaleNormal="65" zoomScalePageLayoutView="100" workbookViewId="0">
      <pane xSplit="0" ySplit="3" topLeftCell="A44" activePane="bottomLeft" state="frozen"/>
      <selection pane="topLeft" activeCell="A1" activeCellId="0" sqref="A1"/>
      <selection pane="bottomLeft" activeCell="H39" activeCellId="0" sqref="H39"/>
    </sheetView>
  </sheetViews>
  <sheetFormatPr defaultRowHeight="15.6" zeroHeight="false" outlineLevelRow="1" outlineLevelCol="0"/>
  <cols>
    <col collapsed="false" customWidth="true" hidden="false" outlineLevel="0" max="1" min="1" style="9" width="26.21"/>
    <col collapsed="false" customWidth="true" hidden="false" outlineLevel="0" max="2" min="2" style="9" width="9"/>
    <col collapsed="false" customWidth="true" hidden="false" outlineLevel="0" max="3" min="3" style="9" width="10.99"/>
    <col collapsed="false" customWidth="true" hidden="false" outlineLevel="0" max="4" min="4" style="9" width="11.99"/>
    <col collapsed="false" customWidth="true" hidden="false" outlineLevel="0" max="5" min="5" style="9" width="42.11"/>
    <col collapsed="false" customWidth="true" hidden="false" outlineLevel="0" max="6" min="6" style="10" width="65.01"/>
    <col collapsed="false" customWidth="true" hidden="false" outlineLevel="0" max="7" min="7" style="9" width="19.11"/>
    <col collapsed="false" customWidth="true" hidden="false" outlineLevel="0" max="8" min="8" style="9" width="52.71"/>
    <col collapsed="false" customWidth="true" hidden="true" outlineLevel="0" max="9" min="9" style="9" width="2.11"/>
    <col collapsed="false" customWidth="true" hidden="false" outlineLevel="0" max="1025" min="10" style="9" width="8.89"/>
  </cols>
  <sheetData>
    <row r="1" s="9" customFormat="true" ht="15.6" hidden="true" customHeight="false" outlineLevel="1" collapsed="false">
      <c r="B1" s="11" t="s">
        <v>46</v>
      </c>
      <c r="C1" s="11" t="s">
        <v>47</v>
      </c>
      <c r="D1" s="11" t="s">
        <v>48</v>
      </c>
    </row>
    <row r="2" customFormat="false" ht="15.6" hidden="false" customHeight="false" outlineLevel="0" collapsed="false">
      <c r="F2" s="12" t="s">
        <v>49</v>
      </c>
      <c r="G2" s="13" t="s">
        <v>50</v>
      </c>
    </row>
    <row r="3" customFormat="false" ht="31.2" hidden="false" customHeight="false" outlineLevel="0" collapsed="false">
      <c r="A3" s="14" t="s">
        <v>51</v>
      </c>
      <c r="B3" s="14" t="s">
        <v>52</v>
      </c>
      <c r="C3" s="14" t="s">
        <v>53</v>
      </c>
      <c r="D3" s="14" t="s">
        <v>54</v>
      </c>
      <c r="E3" s="14" t="s">
        <v>55</v>
      </c>
      <c r="F3" s="15" t="s">
        <v>56</v>
      </c>
      <c r="G3" s="16" t="s">
        <v>57</v>
      </c>
      <c r="H3" s="16" t="s">
        <v>58</v>
      </c>
    </row>
    <row r="4" customFormat="false" ht="15.6" hidden="false" customHeight="false" outlineLevel="0" collapsed="false">
      <c r="A4" s="17" t="s">
        <v>59</v>
      </c>
      <c r="B4" s="18" t="s">
        <v>60</v>
      </c>
      <c r="C4" s="18" t="s">
        <v>61</v>
      </c>
      <c r="D4" s="18" t="s">
        <v>62</v>
      </c>
      <c r="E4" s="18" t="s">
        <v>63</v>
      </c>
      <c r="F4" s="19" t="s">
        <v>64</v>
      </c>
      <c r="G4" s="20" t="str">
        <f aca="false">IF(C4="String",$B$1&amp;$A4&amp;$B$1&amp;": "&amp;$B$1&amp;$F4&amp;$B$1,$B$1&amp;$A4&amp;$B$1&amp;": "&amp;$F4)</f>
        <v>"enabled": true</v>
      </c>
      <c r="H4" s="20" t="str">
        <f aca="false">C1&amp;G4</f>
        <v>{"enabled": true</v>
      </c>
      <c r="I4" s="21" t="s">
        <v>65</v>
      </c>
    </row>
    <row r="5" customFormat="false" ht="15.5" hidden="false" customHeight="false" outlineLevel="0" collapsed="false">
      <c r="A5" s="17" t="s">
        <v>66</v>
      </c>
      <c r="B5" s="18" t="s">
        <v>60</v>
      </c>
      <c r="C5" s="18" t="s">
        <v>67</v>
      </c>
      <c r="D5" s="18" t="s">
        <v>62</v>
      </c>
      <c r="E5" s="18" t="s">
        <v>68</v>
      </c>
      <c r="F5" s="19" t="s">
        <v>69</v>
      </c>
      <c r="G5" s="20" t="str">
        <f aca="false">IF(C5="String",$B$1&amp;$A5&amp;$B$1&amp;": "&amp;$B$1&amp;$F5&amp;$B$1,$B$1&amp;$A5&amp;$B$1&amp;": "&amp;$F5)</f>
        <v>"name": "Salad servers VISION CROM. PR large"</v>
      </c>
      <c r="H5" s="20" t="str">
        <f aca="false">IF(F5="",H4,H4&amp;", "&amp;G5)</f>
        <v>{"enabled": true, "name": "Salad servers VISION CROM. PR large"</v>
      </c>
      <c r="I5" s="21" t="s">
        <v>65</v>
      </c>
    </row>
    <row r="6" customFormat="false" ht="26" hidden="false" customHeight="false" outlineLevel="0" collapsed="false">
      <c r="A6" s="17" t="s">
        <v>70</v>
      </c>
      <c r="B6" s="18" t="s">
        <v>60</v>
      </c>
      <c r="C6" s="18" t="s">
        <v>71</v>
      </c>
      <c r="D6" s="18" t="s">
        <v>62</v>
      </c>
      <c r="E6" s="18" t="s">
        <v>72</v>
      </c>
      <c r="F6" s="19" t="n">
        <v>94</v>
      </c>
      <c r="G6" s="20" t="str">
        <f aca="false">IF(C6="String",$B$1&amp;$A6&amp;$B$1&amp;": "&amp;$B$1&amp;$F6&amp;$B$1,$B$1&amp;$A6&amp;$B$1&amp;": "&amp;$F6)</f>
        <v>"currentPrice": 94</v>
      </c>
      <c r="H6" s="20" t="str">
        <f aca="false">IF(F6="",H5,H5&amp;", "&amp;G6)</f>
        <v>{"enabled": true, "name": "Salad servers VISION CROM. PR large", "currentPrice": 94</v>
      </c>
      <c r="I6" s="21" t="s">
        <v>65</v>
      </c>
    </row>
    <row r="7" customFormat="false" ht="15.6" hidden="false" customHeight="false" outlineLevel="0" collapsed="false">
      <c r="A7" s="22" t="s">
        <v>73</v>
      </c>
      <c r="B7" s="23" t="s">
        <v>74</v>
      </c>
      <c r="C7" s="23" t="s">
        <v>71</v>
      </c>
      <c r="D7" s="23" t="s">
        <v>62</v>
      </c>
      <c r="E7" s="23" t="s">
        <v>75</v>
      </c>
      <c r="F7" s="19"/>
      <c r="G7" s="20" t="str">
        <f aca="false">IF(C7="String",$B$1&amp;$A7&amp;$B$1&amp;": "&amp;$B$1&amp;$F7&amp;$B$1,$B$1&amp;$A7&amp;$B$1&amp;": "&amp;$F7)</f>
        <v>"previousPrice": </v>
      </c>
      <c r="H7" s="20" t="str">
        <f aca="false">IF(F7="",H6,H6&amp;", "&amp;G7)</f>
        <v>{"enabled": true, "name": "Salad servers VISION CROM. PR large", "currentPrice": 94</v>
      </c>
      <c r="I7" s="21" t="s">
        <v>65</v>
      </c>
    </row>
    <row r="8" customFormat="false" ht="30" hidden="false" customHeight="false" outlineLevel="0" collapsed="false">
      <c r="A8" s="17" t="s">
        <v>76</v>
      </c>
      <c r="B8" s="18" t="s">
        <v>60</v>
      </c>
      <c r="C8" s="18" t="s">
        <v>67</v>
      </c>
      <c r="D8" s="18" t="s">
        <v>62</v>
      </c>
      <c r="E8" s="18" t="s">
        <v>77</v>
      </c>
      <c r="F8" s="19" t="s">
        <v>78</v>
      </c>
      <c r="G8" s="20" t="str">
        <f aca="false">IF(C8="String",$B$1&amp;$A8&amp;$B$1&amp;": "&amp;$B$1&amp;$F8&amp;$B$1,$B$1&amp;$A8&amp;$B$1&amp;": "&amp;$F8)</f>
        <v>"categories": "salad-servers"</v>
      </c>
      <c r="H8" s="20" t="str">
        <f aca="false">IF(F8="",H7,H7&amp;", "&amp;G8)</f>
        <v>{"enabled": true, "name": "Salad servers VISION CROM. PR large", "currentPrice": 94, "categories": "salad-servers"</v>
      </c>
      <c r="I8" s="21" t="s">
        <v>65</v>
      </c>
    </row>
    <row r="9" customFormat="false" ht="29" hidden="false" customHeight="false" outlineLevel="0" collapsed="false">
      <c r="A9" s="17" t="s">
        <v>79</v>
      </c>
      <c r="B9" s="18" t="s">
        <v>60</v>
      </c>
      <c r="C9" s="18" t="s">
        <v>80</v>
      </c>
      <c r="D9" s="18" t="s">
        <v>62</v>
      </c>
      <c r="E9" s="18" t="s">
        <v>81</v>
      </c>
      <c r="F9" s="19" t="s">
        <v>82</v>
      </c>
      <c r="G9" s="20" t="str">
        <f aca="false">IF(C9="String",$B$1&amp;$A9&amp;$B$1&amp;": "&amp;$B$1&amp;$F9&amp;$B$1,$B$1&amp;$A9&amp;$B$1&amp;": "&amp;$F9)</f>
        <v>"imageUrls": ["/img/products/dining/salad-servers/4000530642790/1.jpg", "/img/products/dining/salad-servers/4000530642790/2.jpg"]</v>
      </c>
      <c r="H9" s="20" t="str">
        <f aca="false">IF(F9="",H8,H8&amp;", "&amp;G9)</f>
        <v>{"enabled": true, "name": "Salad servers VISION CROM. PR large", "currentPrice": 94, "categories": "salad-servers", "imageUrls": ["/img/products/dining/salad-servers/4000530642790/1.jpg", "/img/products/dining/salad-servers/4000530642790/2.jpg"]</v>
      </c>
      <c r="I9" s="21" t="s">
        <v>65</v>
      </c>
    </row>
    <row r="10" customFormat="false" ht="15.6" hidden="false" customHeight="false" outlineLevel="0" collapsed="false">
      <c r="A10" s="17" t="s">
        <v>83</v>
      </c>
      <c r="B10" s="18" t="s">
        <v>60</v>
      </c>
      <c r="C10" s="18" t="s">
        <v>71</v>
      </c>
      <c r="D10" s="18" t="s">
        <v>62</v>
      </c>
      <c r="E10" s="18" t="s">
        <v>84</v>
      </c>
      <c r="F10" s="19" t="n">
        <v>1</v>
      </c>
      <c r="G10" s="20" t="str">
        <f aca="false">IF(C10="String",$B$1&amp;$A10&amp;$B$1&amp;": "&amp;$B$1&amp;$F10&amp;$B$1,$B$1&amp;$A10&amp;$B$1&amp;": "&amp;$F10)</f>
        <v>"quantity": 1</v>
      </c>
      <c r="H10" s="20" t="str">
        <f aca="false">IF(F10="",H9,H9&amp;", "&amp;G10)</f>
        <v>{"enabled": true, "name": "Salad servers VISION CROM. PR large", "currentPrice": 94, "categories": "salad-servers", "imageUrls": ["/img/products/dining/salad-servers/4000530642790/1.jpg", "/img/products/dining/salad-servers/4000530642790/2.jpg"], "quantity": 1</v>
      </c>
      <c r="I10" s="21" t="s">
        <v>65</v>
      </c>
    </row>
    <row r="11" customFormat="false" ht="15.6" hidden="false" customHeight="false" outlineLevel="0" collapsed="false">
      <c r="A11" s="22" t="s">
        <v>85</v>
      </c>
      <c r="B11" s="23" t="s">
        <v>74</v>
      </c>
      <c r="C11" s="23" t="s">
        <v>67</v>
      </c>
      <c r="D11" s="23" t="s">
        <v>62</v>
      </c>
      <c r="E11" s="23" t="s">
        <v>86</v>
      </c>
      <c r="F11" s="19" t="s">
        <v>87</v>
      </c>
      <c r="G11" s="20" t="str">
        <f aca="false">IF(C11="String",$B$1&amp;$A11&amp;$B$1&amp;": "&amp;$B$1&amp;$F11&amp;$B$1,$B$1&amp;$A11&amp;$B$1&amp;": "&amp;$F11)</f>
        <v>"color": "stainless steel"</v>
      </c>
      <c r="H11" s="20" t="str">
        <f aca="false">IF(F11="",H10,H10&amp;", "&amp;G11)</f>
        <v>{"enabled": true, "name": "Salad servers VISION CROM. PR large", "currentPrice": 94, "categories": "salad-servers", "imageUrls": ["/img/products/dining/salad-servers/4000530642790/1.jpg", "/img/products/dining/salad-servers/4000530642790/2.jpg"], "quantity": 1, "color": "stainless steel"</v>
      </c>
      <c r="I11" s="21" t="s">
        <v>65</v>
      </c>
    </row>
    <row r="12" customFormat="false" ht="15.6" hidden="false" customHeight="false" outlineLevel="0" collapsed="false">
      <c r="A12" s="22" t="s">
        <v>88</v>
      </c>
      <c r="B12" s="23" t="s">
        <v>74</v>
      </c>
      <c r="C12" s="23" t="s">
        <v>67</v>
      </c>
      <c r="D12" s="23" t="s">
        <v>62</v>
      </c>
      <c r="E12" s="23" t="s">
        <v>86</v>
      </c>
      <c r="F12" s="24" t="str">
        <f aca="false">"/"&amp;SUBSTITUTE(LOWER(F5)," ","-")&amp;"-"&amp;F19</f>
        <v>/salad-servers-vision-crom.-pr-large-4000530642790</v>
      </c>
      <c r="G12" s="20" t="str">
        <f aca="false">IF(C12="String",$B$1&amp;$A12&amp;$B$1&amp;": "&amp;$B$1&amp;$F12&amp;$B$1,$B$1&amp;$A12&amp;$B$1&amp;": "&amp;$F12)</f>
        <v>"productUrl": "/salad-servers-vision-crom.-pr-large-4000530642790"</v>
      </c>
      <c r="H12" s="20" t="str">
        <f aca="false">IF(F12="",H11,H11&amp;", "&amp;G12)</f>
        <v>{"enabled": true, "name": "Salad servers VISION CROM. PR large", "currentPrice": 94, "categories": "salad-servers", "imageUrls": ["/img/products/dining/salad-servers/4000530642790/1.jpg", "/img/products/dining/salad-servers/4000530642790/2.jpg"], "quantity": 1, "color": "stainless steel", "productUrl": "/salad-servers-vision-crom.-pr-large-4000530642790"</v>
      </c>
      <c r="I12" s="21" t="s">
        <v>65</v>
      </c>
    </row>
    <row r="13" customFormat="false" ht="15.6" hidden="false" customHeight="false" outlineLevel="0" collapsed="false">
      <c r="A13" s="22" t="s">
        <v>89</v>
      </c>
      <c r="B13" s="23" t="s">
        <v>74</v>
      </c>
      <c r="C13" s="23" t="s">
        <v>67</v>
      </c>
      <c r="D13" s="23" t="s">
        <v>62</v>
      </c>
      <c r="E13" s="23" t="s">
        <v>86</v>
      </c>
      <c r="F13" s="19" t="s">
        <v>8</v>
      </c>
      <c r="G13" s="20" t="str">
        <f aca="false">IF(C13="String",$B$1&amp;$A13&amp;$B$1&amp;": "&amp;$B$1&amp;$F13&amp;$B$1,$B$1&amp;$A13&amp;$B$1&amp;": "&amp;$F13)</f>
        <v>"brand": "WMF"</v>
      </c>
      <c r="H13" s="20" t="str">
        <f aca="false">IF(F13="",H12,H12&amp;", "&amp;G13)</f>
        <v>{"enabled": true, "name": "Salad servers VISION CROM. PR large", "currentPrice": 94, "categories": "salad-servers", "imageUrls": ["/img/products/dining/salad-servers/4000530642790/1.jpg", "/img/products/dining/salad-servers/4000530642790/2.jpg"], "quantity": 1, "color": "stainless steel", "productUrl": "/salad-servers-vision-crom.-pr-large-4000530642790", "brand": "WMF"</v>
      </c>
      <c r="I13" s="21" t="s">
        <v>65</v>
      </c>
    </row>
    <row r="14" customFormat="false" ht="15.6" hidden="false" customHeight="false" outlineLevel="0" collapsed="false">
      <c r="A14" s="22" t="s">
        <v>90</v>
      </c>
      <c r="B14" s="23" t="s">
        <v>74</v>
      </c>
      <c r="C14" s="23" t="s">
        <v>67</v>
      </c>
      <c r="D14" s="23" t="s">
        <v>62</v>
      </c>
      <c r="E14" s="23" t="s">
        <v>86</v>
      </c>
      <c r="F14" s="19"/>
      <c r="G14" s="20" t="str">
        <f aca="false">IF(C14="String",$B$1&amp;$A14&amp;$B$1&amp;": "&amp;$B$1&amp;$F14&amp;$B$1,$B$1&amp;$A14&amp;$B$1&amp;": "&amp;$F14)</f>
        <v>"manufacturer": ""</v>
      </c>
      <c r="H14" s="20" t="str">
        <f aca="false">IF(F14="",H13,H13&amp;", "&amp;G14)</f>
        <v>{"enabled": true, "name": "Salad servers VISION CROM. PR large", "currentPrice": 94, "categories": "salad-servers", "imageUrls": ["/img/products/dining/salad-servers/4000530642790/1.jpg", "/img/products/dining/salad-servers/4000530642790/2.jpg"], "quantity": 1, "color": "stainless steel", "productUrl": "/salad-servers-vision-crom.-pr-large-4000530642790", "brand": "WMF"</v>
      </c>
      <c r="I14" s="21" t="s">
        <v>65</v>
      </c>
    </row>
    <row r="15" customFormat="false" ht="15.5" hidden="false" customHeight="false" outlineLevel="0" collapsed="false">
      <c r="A15" s="22" t="s">
        <v>91</v>
      </c>
      <c r="B15" s="23" t="s">
        <v>74</v>
      </c>
      <c r="C15" s="23" t="s">
        <v>67</v>
      </c>
      <c r="D15" s="23" t="s">
        <v>62</v>
      </c>
      <c r="E15" s="23" t="s">
        <v>86</v>
      </c>
      <c r="F15" s="19" t="s">
        <v>92</v>
      </c>
      <c r="G15" s="20" t="str">
        <f aca="false">IF(C15="String",$B$1&amp;$A15&amp;$B$1&amp;": "&amp;$B$1&amp;$F15&amp;$B$1,$B$1&amp;$A15&amp;$B$1&amp;": "&amp;$F15)</f>
        <v>"manufacturerCountry": "Germany"</v>
      </c>
      <c r="H15" s="20" t="str">
        <f aca="false">IF(F15="",H14,H14&amp;", "&amp;G15)</f>
        <v>{"enabled": true, "name": "Salad servers VISION CROM. PR large", "currentPrice": 94, "categories": "salad-servers", "imageUrls": ["/img/products/dining/salad-servers/4000530642790/1.jpg", "/img/products/dining/salad-servers/4000530642790/2.jpg"], "quantity": 1, "color": "stainless steel", "productUrl": "/salad-servers-vision-crom.-pr-large-4000530642790", "brand": "WMF", "manufacturerCountry": "Germany"</v>
      </c>
      <c r="I15" s="21" t="s">
        <v>65</v>
      </c>
    </row>
    <row r="16" customFormat="false" ht="15.6" hidden="false" customHeight="false" outlineLevel="0" collapsed="false">
      <c r="A16" s="17" t="s">
        <v>93</v>
      </c>
      <c r="B16" s="18" t="s">
        <v>60</v>
      </c>
      <c r="C16" s="18" t="s">
        <v>94</v>
      </c>
      <c r="D16" s="18" t="s">
        <v>95</v>
      </c>
      <c r="E16" s="18" t="s">
        <v>96</v>
      </c>
      <c r="F16" s="25"/>
      <c r="G16" s="26"/>
      <c r="H16" s="26"/>
      <c r="I16" s="21" t="s">
        <v>65</v>
      </c>
    </row>
    <row r="17" customFormat="false" ht="15.6" hidden="false" customHeight="false" outlineLevel="0" collapsed="false">
      <c r="F17" s="27"/>
      <c r="G17" s="26"/>
      <c r="H17" s="26"/>
      <c r="I17" s="21" t="s">
        <v>65</v>
      </c>
    </row>
    <row r="18" customFormat="false" ht="15.6" hidden="false" customHeight="false" outlineLevel="0" collapsed="false">
      <c r="A18" s="28" t="s">
        <v>97</v>
      </c>
      <c r="F18" s="25" t="s">
        <v>98</v>
      </c>
      <c r="G18" s="20" t="s">
        <v>99</v>
      </c>
      <c r="H18" s="20" t="str">
        <f aca="false">IF(F18="",H15,H15&amp;G18)</f>
        <v>{"enabled": true, "name": "Salad servers VISION CROM. PR large", "currentPrice": 94, "categories": "salad-servers", "imageUrls": ["/img/products/dining/salad-servers/4000530642790/1.jpg", "/img/products/dining/salad-servers/4000530642790/2.jpg"], "quantity": 1, "color": "stainless steel", "productUrl": "/salad-servers-vision-crom.-pr-large-4000530642790", "brand": "WMF", "manufacturerCountry": "Germany", "myCustomParams":{</v>
      </c>
      <c r="I18" s="21" t="s">
        <v>65</v>
      </c>
    </row>
    <row r="19" customFormat="false" ht="38" hidden="false" customHeight="false" outlineLevel="0" collapsed="false">
      <c r="A19" s="17" t="s">
        <v>4</v>
      </c>
      <c r="B19" s="18" t="s">
        <v>60</v>
      </c>
      <c r="C19" s="18" t="s">
        <v>71</v>
      </c>
      <c r="D19" s="18" t="s">
        <v>62</v>
      </c>
      <c r="E19" s="18" t="s">
        <v>100</v>
      </c>
      <c r="F19" s="29" t="n">
        <v>4000530642790</v>
      </c>
      <c r="G19" s="20" t="str">
        <f aca="false">IF(C19="String",$B$1&amp;$A19&amp;$B$1&amp;": "&amp;$B$1&amp;$F19&amp;$B$1,$B$1&amp;$A19&amp;$B$1&amp;": "&amp;$F19)</f>
        <v>"EAN": 4000530642790</v>
      </c>
      <c r="H19" s="20" t="str">
        <f aca="false">IF(F19="",H18,H18&amp;G19)</f>
        <v>{"enabled": true, "name": "Salad servers VISION CROM. PR large", "currentPrice": 94, "categories": "salad-servers", "imageUrls": ["/img/products/dining/salad-servers/4000530642790/1.jpg", "/img/products/dining/salad-servers/4000530642790/2.jpg"], "quantity": 1, "color": "stainless steel", "productUrl": "/salad-servers-vision-crom.-pr-large-4000530642790", "brand": "WMF", "manufacturerCountry": "Germany", "myCustomParams":{"EAN": 4000530642790</v>
      </c>
      <c r="I19" s="21" t="s">
        <v>65</v>
      </c>
    </row>
    <row r="20" customFormat="false" ht="38" hidden="false" customHeight="false" outlineLevel="0" collapsed="false">
      <c r="A20" s="22" t="s">
        <v>101</v>
      </c>
      <c r="B20" s="23" t="s">
        <v>74</v>
      </c>
      <c r="C20" s="23" t="s">
        <v>67</v>
      </c>
      <c r="D20" s="23" t="s">
        <v>62</v>
      </c>
      <c r="E20" s="23"/>
      <c r="F20" s="19" t="s">
        <v>102</v>
      </c>
      <c r="G20" s="20" t="str">
        <f aca="false">IF(C20="String",$B$1&amp;$A20&amp;$B$1&amp;": "&amp;$B$1&amp;$F20&amp;$B$1,$B$1&amp;$A20&amp;$B$1&amp;": "&amp;$F20)</f>
        <v>"collection": "Vision"</v>
      </c>
      <c r="H20" s="20" t="str">
        <f aca="false">IF(F20="",H19,H19&amp;", "&amp;G20)</f>
        <v>{"enabled": true, "name": "Salad servers VISION CROM. PR large", "currentPrice": 94, "categories": "salad-servers", "imageUrls": ["/img/products/dining/salad-servers/4000530642790/1.jpg", "/img/products/dining/salad-servers/4000530642790/2.jpg"], "quantity": 1, "color": "stainless steel", "productUrl": "/salad-servers-vision-crom.-pr-large-4000530642790", "brand": "WMF", "manufacturerCountry": "Germany", "myCustomParams":{"EAN": 4000530642790, "collection": "Vision"</v>
      </c>
      <c r="I20" s="21" t="s">
        <v>65</v>
      </c>
    </row>
    <row r="21" customFormat="false" ht="15.6" hidden="false" customHeight="false" outlineLevel="0" collapsed="false">
      <c r="A21" s="22" t="s">
        <v>103</v>
      </c>
      <c r="B21" s="23" t="s">
        <v>74</v>
      </c>
      <c r="C21" s="23" t="s">
        <v>67</v>
      </c>
      <c r="D21" s="23" t="s">
        <v>62</v>
      </c>
      <c r="E21" s="23"/>
      <c r="F21" s="19" t="s">
        <v>104</v>
      </c>
      <c r="G21" s="20" t="str">
        <f aca="false">IF(C21="String",$B$1&amp;$A21&amp;$B$1&amp;": "&amp;$B$1&amp;$F21&amp;$B$1,$B$1&amp;$A21&amp;$B$1&amp;": "&amp;$F21)</f>
        <v>"material": "Cromargan protect"</v>
      </c>
      <c r="H21" s="20" t="str">
        <f aca="false">IF(F21="",H20,H20&amp;", "&amp;G21)</f>
        <v>{"enabled": true, "name": "Salad servers VISION CROM. PR large", "currentPrice": 94, "categories": "salad-servers", "imageUrls": ["/img/products/dining/salad-servers/4000530642790/1.jpg", "/img/products/dining/salad-servers/4000530642790/2.jpg"], "quantity": 1, "color": "stainless steel", "productUrl": "/salad-servers-vision-crom.-pr-large-4000530642790", "brand": "WMF", "manufacturerCountry": "Germany", "myCustomParams":{"EAN": 4000530642790, "collection": "Vision", "material": "Cromargan protect"</v>
      </c>
      <c r="I21" s="21" t="s">
        <v>65</v>
      </c>
    </row>
    <row r="22" customFormat="false" ht="15.6" hidden="false" customHeight="false" outlineLevel="0" collapsed="false">
      <c r="A22" s="22" t="s">
        <v>105</v>
      </c>
      <c r="B22" s="23" t="s">
        <v>74</v>
      </c>
      <c r="C22" s="23" t="s">
        <v>67</v>
      </c>
      <c r="D22" s="23" t="s">
        <v>62</v>
      </c>
      <c r="E22" s="23"/>
      <c r="F22" s="19" t="s">
        <v>26</v>
      </c>
      <c r="G22" s="20" t="str">
        <f aca="false">IF(C22="String",$B$1&amp;$A22&amp;$B$1&amp;": "&amp;$B$1&amp;$F22&amp;$B$1,$B$1&amp;$A22&amp;$B$1&amp;": "&amp;$F22)</f>
        <v>"care": "Dishwasher safe"</v>
      </c>
      <c r="H22" s="20" t="str">
        <f aca="false">IF(F22="",H21,H21&amp;", "&amp;G22)</f>
        <v>{"enabled": true, "name": "Salad servers VISION CROM. PR large", "currentPrice": 94, "categories": "salad-servers", "imageUrls": ["/img/products/dining/salad-servers/4000530642790/1.jpg", "/img/products/dining/salad-servers/4000530642790/2.jpg"], "quantity": 1, "color": "stainless steel", "productUrl": "/salad-servers-vision-crom.-pr-large-4000530642790", "brand": "WMF", "manufacturerCountry": "Germany", "myCustomParams":{"EAN": 4000530642790, "collection": "Vision", "material": "Cromargan protect", "care": "Dishwasher safe"</v>
      </c>
      <c r="I22" s="21" t="s">
        <v>65</v>
      </c>
    </row>
    <row r="23" customFormat="false" ht="28.45" hidden="false" customHeight="false" outlineLevel="0" collapsed="false">
      <c r="A23" s="22" t="s">
        <v>106</v>
      </c>
      <c r="B23" s="23" t="s">
        <v>74</v>
      </c>
      <c r="C23" s="23" t="s">
        <v>80</v>
      </c>
      <c r="D23" s="23" t="s">
        <v>62</v>
      </c>
      <c r="E23" s="23" t="s">
        <v>107</v>
      </c>
      <c r="F23" s="19" t="s">
        <v>108</v>
      </c>
      <c r="G23" s="20" t="str">
        <f aca="false">IF(C23="String",$B$1&amp;$A23&amp;$B$1&amp;": "&amp;$B$1&amp;$F23&amp;$B$1,$B$1&amp;$A23&amp;$B$1&amp;": "&amp;$F23)</f>
        <v>"sizes": {"length": 25}</v>
      </c>
      <c r="H23" s="20" t="str">
        <f aca="false">IF(F23="",H22,H22&amp;", "&amp;G23)</f>
        <v>{"enabled": true, "name": "Salad servers VISION CROM. PR large", "currentPrice": 94, "categories": "salad-servers", "imageUrls": ["/img/products/dining/salad-servers/4000530642790/1.jpg", "/img/products/dining/salad-servers/4000530642790/2.jpg"], "quantity": 1, "color": "stainless steel", "productUrl": "/salad-servers-vision-crom.-pr-large-4000530642790", "brand": "WMF", "manufacturerCountry": "Germany", "myCustomParams":{"EAN": 4000530642790, "collection": "Vision", "material": "Cromargan protect", "care": "Dishwasher safe", "sizes": {"length": 25}</v>
      </c>
      <c r="I23" s="21" t="s">
        <v>65</v>
      </c>
    </row>
    <row r="24" customFormat="false" ht="15.6" hidden="false" customHeight="false" outlineLevel="0" collapsed="false">
      <c r="A24" s="22" t="s">
        <v>109</v>
      </c>
      <c r="B24" s="23" t="s">
        <v>74</v>
      </c>
      <c r="C24" s="23" t="s">
        <v>71</v>
      </c>
      <c r="D24" s="23" t="s">
        <v>62</v>
      </c>
      <c r="E24" s="23" t="s">
        <v>110</v>
      </c>
      <c r="F24" s="19" t="n">
        <v>2</v>
      </c>
      <c r="G24" s="20" t="str">
        <f aca="false">IF(C24="String",$B$1&amp;$A24&amp;$B$1&amp;": "&amp;$B$1&amp;$F24&amp;$B$1,$B$1&amp;$A24&amp;$B$1&amp;": "&amp;$F24)</f>
        <v>"setSize": 2</v>
      </c>
      <c r="H24" s="20" t="str">
        <f aca="false">IF(F24="",H23,H23&amp;", "&amp;G24)</f>
        <v>{"enabled": true, "name": "Salad servers VISION CROM. PR large", "currentPrice": 94, "categories": "salad-servers", "imageUrls": ["/img/products/dining/salad-servers/4000530642790/1.jpg", "/img/products/dining/salad-servers/4000530642790/2.jpg"], "quantity": 1, "color": "stainless steel", "productUrl": "/salad-servers-vision-crom.-pr-large-4000530642790", "brand": "WMF", "manufacturerCountry": "Germany", "myCustomParams":{"EAN": 4000530642790, "collection": "Vision", "material": "Cromargan protect", "care": "Dishwasher safe", "sizes": {"length": 25}, "setSize": 2</v>
      </c>
      <c r="I24" s="21" t="s">
        <v>65</v>
      </c>
    </row>
    <row r="25" customFormat="false" ht="26" hidden="false" customHeight="false" outlineLevel="0" collapsed="false">
      <c r="A25" s="22" t="s">
        <v>111</v>
      </c>
      <c r="B25" s="23" t="s">
        <v>74</v>
      </c>
      <c r="C25" s="23" t="s">
        <v>71</v>
      </c>
      <c r="D25" s="23" t="s">
        <v>62</v>
      </c>
      <c r="E25" s="23" t="s">
        <v>112</v>
      </c>
      <c r="F25" s="19"/>
      <c r="G25" s="20" t="str">
        <f aca="false">IF(C25="String",$B$1&amp;$A25&amp;$B$1&amp;": "&amp;$B$1&amp;$F25&amp;$B$1,$B$1&amp;$A25&amp;$B$1&amp;": "&amp;$F25)</f>
        <v>"capacity": </v>
      </c>
      <c r="H25" s="20" t="str">
        <f aca="false">IF(F25="",H24,H24&amp;", "&amp;G25)</f>
        <v>{"enabled": true, "name": "Salad servers VISION CROM. PR large", "currentPrice": 94, "categories": "salad-servers", "imageUrls": ["/img/products/dining/salad-servers/4000530642790/1.jpg", "/img/products/dining/salad-servers/4000530642790/2.jpg"], "quantity": 1, "color": "stainless steel", "productUrl": "/salad-servers-vision-crom.-pr-large-4000530642790", "brand": "WMF", "manufacturerCountry": "Germany", "myCustomParams":{"EAN": 4000530642790, "collection": "Vision", "material": "Cromargan protect", "care": "Dishwasher safe", "sizes": {"length": 25}, "setSize": 2</v>
      </c>
      <c r="I25" s="21" t="s">
        <v>65</v>
      </c>
    </row>
    <row r="26" customFormat="false" ht="15.6" hidden="false" customHeight="false" outlineLevel="0" collapsed="false">
      <c r="A26" s="22" t="s">
        <v>113</v>
      </c>
      <c r="B26" s="23" t="s">
        <v>74</v>
      </c>
      <c r="C26" s="23" t="s">
        <v>71</v>
      </c>
      <c r="D26" s="23" t="s">
        <v>62</v>
      </c>
      <c r="E26" s="23" t="s">
        <v>114</v>
      </c>
      <c r="F26" s="19"/>
      <c r="G26" s="20" t="str">
        <f aca="false">IF(C26="String",$B$1&amp;$A26&amp;$B$1&amp;": "&amp;$B$1&amp;$F26&amp;$B$1,$B$1&amp;$A26&amp;$B$1&amp;": "&amp;$F26)</f>
        <v>"power": </v>
      </c>
      <c r="H26" s="20" t="str">
        <f aca="false">IF(F26="",H25,H25&amp;", "&amp;G26)</f>
        <v>{"enabled": true, "name": "Salad servers VISION CROM. PR large", "currentPrice": 94, "categories": "salad-servers", "imageUrls": ["/img/products/dining/salad-servers/4000530642790/1.jpg", "/img/products/dining/salad-servers/4000530642790/2.jpg"], "quantity": 1, "color": "stainless steel", "productUrl": "/salad-servers-vision-crom.-pr-large-4000530642790", "brand": "WMF", "manufacturerCountry": "Germany", "myCustomParams":{"EAN": 4000530642790, "collection": "Vision", "material": "Cromargan protect", "care": "Dishwasher safe", "sizes": {"length": 25}, "setSize": 2</v>
      </c>
      <c r="I26" s="21" t="s">
        <v>65</v>
      </c>
    </row>
    <row r="27" customFormat="false" ht="15.6" hidden="false" customHeight="false" outlineLevel="0" collapsed="false">
      <c r="A27" s="22" t="s">
        <v>115</v>
      </c>
      <c r="B27" s="23" t="s">
        <v>74</v>
      </c>
      <c r="C27" s="23" t="s">
        <v>71</v>
      </c>
      <c r="D27" s="23" t="s">
        <v>62</v>
      </c>
      <c r="E27" s="23" t="s">
        <v>114</v>
      </c>
      <c r="F27" s="19"/>
      <c r="G27" s="20" t="str">
        <f aca="false">IF(C27="String",$B$1&amp;$A27&amp;$B$1&amp;": "&amp;$B$1&amp;$F27&amp;$B$1,$B$1&amp;$A27&amp;$B$1&amp;": "&amp;$F27)</f>
        <v>"voltage": </v>
      </c>
      <c r="H27" s="20" t="str">
        <f aca="false">IF(F27="",H26,H26&amp;", "&amp;G27)</f>
        <v>{"enabled": true, "name": "Salad servers VISION CROM. PR large", "currentPrice": 94, "categories": "salad-servers", "imageUrls": ["/img/products/dining/salad-servers/4000530642790/1.jpg", "/img/products/dining/salad-servers/4000530642790/2.jpg"], "quantity": 1, "color": "stainless steel", "productUrl": "/salad-servers-vision-crom.-pr-large-4000530642790", "brand": "WMF", "manufacturerCountry": "Germany", "myCustomParams":{"EAN": 4000530642790, "collection": "Vision", "material": "Cromargan protect", "care": "Dishwasher safe", "sizes": {"length": 25}, "setSize": 2</v>
      </c>
      <c r="I27" s="21" t="s">
        <v>65</v>
      </c>
    </row>
    <row r="28" customFormat="false" ht="15" hidden="false" customHeight="false" outlineLevel="0" collapsed="false">
      <c r="A28" s="22" t="s">
        <v>116</v>
      </c>
      <c r="B28" s="23" t="s">
        <v>74</v>
      </c>
      <c r="C28" s="30" t="s">
        <v>61</v>
      </c>
      <c r="D28" s="23" t="s">
        <v>62</v>
      </c>
      <c r="E28" s="23"/>
      <c r="F28" s="19" t="s">
        <v>117</v>
      </c>
      <c r="G28" s="20" t="str">
        <f aca="false">IF(C28="String",$B$1&amp;$A28&amp;$B$1&amp;": "&amp;$B$1&amp;$F28&amp;$B$1,$B$1&amp;$A28&amp;$B$1&amp;": "&amp;$F28)</f>
        <v>"inPromo": 'false</v>
      </c>
      <c r="H28" s="20" t="str">
        <f aca="false">IF(F28="",H27,H27&amp;", "&amp;G28)</f>
        <v>{"enabled": true, "name": "Salad servers VISION CROM. PR large", "currentPrice": 94, "categories": "salad-servers", "imageUrls": ["/img/products/dining/salad-servers/4000530642790/1.jpg", "/img/products/dining/salad-servers/4000530642790/2.jpg"], "quantity": 1, "color": "stainless steel", "productUrl": "/salad-servers-vision-crom.-pr-large-4000530642790", "brand": "WMF", "manufacturerCountry": "Germany", "myCustomParams":{"EAN": 4000530642790, "collection": "Vision", "material": "Cromargan protect", "care": "Dishwasher safe", "sizes": {"length": 25}, "setSize": 2, "inPromo": 'false</v>
      </c>
      <c r="I28" s="21" t="s">
        <v>65</v>
      </c>
    </row>
    <row r="29" customFormat="false" ht="15.6" hidden="false" customHeight="false" outlineLevel="0" collapsed="false">
      <c r="A29" s="22" t="s">
        <v>118</v>
      </c>
      <c r="B29" s="23" t="s">
        <v>74</v>
      </c>
      <c r="C29" s="30" t="s">
        <v>80</v>
      </c>
      <c r="D29" s="23" t="s">
        <v>62</v>
      </c>
      <c r="E29" s="23"/>
      <c r="F29" s="19"/>
      <c r="G29" s="20" t="str">
        <f aca="false">IF(C29="String",$B$1&amp;$A29&amp;$B$1&amp;": "&amp;$B$1&amp;$F29&amp;$B$1,$B$1&amp;$A29&amp;$B$1&amp;": "&amp;$F29)</f>
        <v>"similarProducts": </v>
      </c>
      <c r="H29" s="20" t="str">
        <f aca="false">IF(F29="",H28,H28&amp;", "&amp;G29)</f>
        <v>{"enabled": true, "name": "Salad servers VISION CROM. PR large", "currentPrice": 94, "categories": "salad-servers", "imageUrls": ["/img/products/dining/salad-servers/4000530642790/1.jpg", "/img/products/dining/salad-servers/4000530642790/2.jpg"], "quantity": 1, "color": "stainless steel", "productUrl": "/salad-servers-vision-crom.-pr-large-4000530642790", "brand": "WMF", "manufacturerCountry": "Germany", "myCustomParams":{"EAN": 4000530642790, "collection": "Vision", "material": "Cromargan protect", "care": "Dishwasher safe", "sizes": {"length": 25}, "setSize": 2, "inPromo": 'false</v>
      </c>
      <c r="I29" s="21" t="s">
        <v>65</v>
      </c>
    </row>
    <row r="30" customFormat="false" ht="15.6" hidden="false" customHeight="false" outlineLevel="0" collapsed="false">
      <c r="A30" s="22" t="s">
        <v>119</v>
      </c>
      <c r="B30" s="23" t="s">
        <v>74</v>
      </c>
      <c r="C30" s="30" t="s">
        <v>80</v>
      </c>
      <c r="D30" s="23" t="s">
        <v>62</v>
      </c>
      <c r="E30" s="23"/>
      <c r="F30" s="19"/>
      <c r="G30" s="20" t="str">
        <f aca="false">IF(C30="String",$B$1&amp;$A30&amp;$B$1&amp;": "&amp;$B$1&amp;$F30&amp;$B$1,$B$1&amp;$A30&amp;$B$1&amp;": "&amp;$F30)</f>
        <v>"crossSellingProducts": </v>
      </c>
      <c r="H30" s="20" t="str">
        <f aca="false">IF(F30="",H29,H29&amp;", "&amp;G30)</f>
        <v>{"enabled": true, "name": "Salad servers VISION CROM. PR large", "currentPrice": 94, "categories": "salad-servers", "imageUrls": ["/img/products/dining/salad-servers/4000530642790/1.jpg", "/img/products/dining/salad-servers/4000530642790/2.jpg"], "quantity": 1, "color": "stainless steel", "productUrl": "/salad-servers-vision-crom.-pr-large-4000530642790", "brand": "WMF", "manufacturerCountry": "Germany", "myCustomParams":{"EAN": 4000530642790, "collection": "Vision", "material": "Cromargan protect", "care": "Dishwasher safe", "sizes": {"length": 25}, "setSize": 2, "inPromo": 'false</v>
      </c>
      <c r="I30" s="21" t="s">
        <v>65</v>
      </c>
    </row>
    <row r="31" customFormat="false" ht="15.6" hidden="false" customHeight="false" outlineLevel="0" collapsed="false">
      <c r="A31" s="30" t="s">
        <v>120</v>
      </c>
      <c r="B31" s="23" t="s">
        <v>74</v>
      </c>
      <c r="C31" s="30" t="s">
        <v>61</v>
      </c>
      <c r="D31" s="23" t="s">
        <v>62</v>
      </c>
      <c r="E31" s="23"/>
      <c r="F31" s="19" t="s">
        <v>121</v>
      </c>
      <c r="G31" s="20" t="str">
        <f aca="false">IF(C31="String",$B$1&amp;$A31&amp;$B$1&amp;": "&amp;$B$1&amp;$F31&amp;$B$1,$B$1&amp;$A31&amp;$B$1&amp;": "&amp;$F31)</f>
        <v>"fragile": false</v>
      </c>
      <c r="H31" s="20" t="str">
        <f aca="false">IF(F31="",H30,H30&amp;", "&amp;G31)</f>
        <v>{"enabled": true, "name": "Salad servers VISION CROM. PR large", "currentPrice": 94, "categories": "salad-servers", "imageUrls": ["/img/products/dining/salad-servers/4000530642790/1.jpg", "/img/products/dining/salad-servers/4000530642790/2.jpg"], "quantity": 1, "color": "stainless steel", "productUrl": "/salad-servers-vision-crom.-pr-large-4000530642790", "brand": "WMF", "manufacturerCountry": "Germany", "myCustomParams":{"EAN": 4000530642790, "collection": "Vision", "material": "Cromargan protect", "care": "Dishwasher safe", "sizes": {"length": 25}, "setSize": 2, "inPromo": 'false, "fragile": false</v>
      </c>
      <c r="I31" s="21" t="s">
        <v>65</v>
      </c>
    </row>
    <row r="32" customFormat="false" ht="15.6" hidden="false" customHeight="false" outlineLevel="0" collapsed="false">
      <c r="A32" s="30" t="s">
        <v>122</v>
      </c>
      <c r="B32" s="23" t="s">
        <v>74</v>
      </c>
      <c r="C32" s="30" t="s">
        <v>71</v>
      </c>
      <c r="D32" s="23" t="s">
        <v>62</v>
      </c>
      <c r="E32" s="23"/>
      <c r="F32" s="19"/>
      <c r="G32" s="20" t="str">
        <f aca="false">IF(C32="String",$B$1&amp;$A32&amp;$B$1&amp;": "&amp;$B$1&amp;$F32&amp;$B$1,$B$1&amp;$A32&amp;$B$1&amp;": "&amp;$F32)</f>
        <v>"rating": </v>
      </c>
      <c r="H32" s="20" t="str">
        <f aca="false">IF(F32="",H31,H31&amp;", "&amp;G32)</f>
        <v>{"enabled": true, "name": "Salad servers VISION CROM. PR large", "currentPrice": 94, "categories": "salad-servers", "imageUrls": ["/img/products/dining/salad-servers/4000530642790/1.jpg", "/img/products/dining/salad-servers/4000530642790/2.jpg"], "quantity": 1, "color": "stainless steel", "productUrl": "/salad-servers-vision-crom.-pr-large-4000530642790", "brand": "WMF", "manufacturerCountry": "Germany", "myCustomParams":{"EAN": 4000530642790, "collection": "Vision", "material": "Cromargan protect", "care": "Dishwasher safe", "sizes": {"length": 25}, "setSize": 2, "inPromo": 'false, "fragile": false</v>
      </c>
      <c r="I32" s="21" t="s">
        <v>65</v>
      </c>
    </row>
    <row r="33" customFormat="false" ht="15.6" hidden="false" customHeight="false" outlineLevel="0" collapsed="false">
      <c r="A33" s="30" t="s">
        <v>123</v>
      </c>
      <c r="B33" s="23" t="s">
        <v>74</v>
      </c>
      <c r="C33" s="30" t="s">
        <v>67</v>
      </c>
      <c r="D33" s="23" t="s">
        <v>62</v>
      </c>
      <c r="E33" s="23"/>
      <c r="F33" s="19" t="s">
        <v>124</v>
      </c>
      <c r="G33" s="20" t="str">
        <f aca="false">IF(C33="String",$B$1&amp;$A33&amp;$B$1&amp;": "&amp;$B$1&amp;$F33&amp;$B$1,$B$1&amp;$A33&amp;$B$1&amp;": "&amp;$F33)</f>
        <v>"status": "active"</v>
      </c>
      <c r="H33" s="20" t="str">
        <f aca="false">IF(F33="",H32,H32&amp;", "&amp;G33)</f>
        <v>{"enabled": true, "name": "Salad servers VISION CROM. PR large", "currentPrice": 94, "categories": "salad-servers", "imageUrls": ["/img/products/dining/salad-servers/4000530642790/1.jpg", "/img/products/dining/salad-servers/4000530642790/2.jpg"], "quantity": 1, "color": "stainless steel", "productUrl": "/salad-servers-vision-crom.-pr-large-4000530642790", "brand": "WMF", "manufacturerCountry": "Germany", "myCustomParams":{"EAN": 4000530642790, "collection": "Vision", "material": "Cromargan protect", "care": "Dishwasher safe", "sizes": {"length": 25}, "setSize": 2, "inPromo": 'false, "fragile": false, "status": "active"</v>
      </c>
      <c r="I33" s="21" t="s">
        <v>65</v>
      </c>
    </row>
    <row r="34" customFormat="false" ht="15.6" hidden="false" customHeight="false" outlineLevel="0" collapsed="false">
      <c r="A34" s="30" t="s">
        <v>125</v>
      </c>
      <c r="B34" s="23" t="s">
        <v>74</v>
      </c>
      <c r="C34" s="30" t="s">
        <v>67</v>
      </c>
      <c r="D34" s="23" t="s">
        <v>62</v>
      </c>
      <c r="E34" s="23"/>
      <c r="F34" s="19"/>
      <c r="G34" s="20" t="str">
        <f aca="false">IF(C34="String",$B$1&amp;$A34&amp;$B$1&amp;": "&amp;$B$1&amp;$F34&amp;$B$1,$B$1&amp;$A34&amp;$B$1&amp;": "&amp;$F34)</f>
        <v>"stoveType": ""</v>
      </c>
      <c r="H34" s="20" t="str">
        <f aca="false">IF(F34="",H33,H33&amp;", "&amp;G34)</f>
        <v>{"enabled": true, "name": "Salad servers VISION CROM. PR large", "currentPrice": 94, "categories": "salad-servers", "imageUrls": ["/img/products/dining/salad-servers/4000530642790/1.jpg", "/img/products/dining/salad-servers/4000530642790/2.jpg"], "quantity": 1, "color": "stainless steel", "productUrl": "/salad-servers-vision-crom.-pr-large-4000530642790", "brand": "WMF", "manufacturerCountry": "Germany", "myCustomParams":{"EAN": 4000530642790, "collection": "Vision", "material": "Cromargan protect", "care": "Dishwasher safe", "sizes": {"length": 25}, "setSize": 2, "inPromo": 'false, "fragile": false, "status": "active"</v>
      </c>
      <c r="I34" s="21" t="s">
        <v>65</v>
      </c>
    </row>
    <row r="35" customFormat="false" ht="26" hidden="false" customHeight="false" outlineLevel="0" collapsed="false">
      <c r="A35" s="30" t="s">
        <v>126</v>
      </c>
      <c r="B35" s="23" t="s">
        <v>74</v>
      </c>
      <c r="C35" s="30" t="s">
        <v>67</v>
      </c>
      <c r="D35" s="23" t="s">
        <v>62</v>
      </c>
      <c r="E35" s="23"/>
      <c r="F35" s="19" t="s">
        <v>117</v>
      </c>
      <c r="G35" s="20" t="str">
        <f aca="false">IF(C35="String",$B$1&amp;$A35&amp;$B$1&amp;": "&amp;$B$1&amp;$F35&amp;$B$1,$B$1&amp;$A35&amp;$B$1&amp;": "&amp;$F35)</f>
        <v>"inductionCompatibale": "'false"</v>
      </c>
      <c r="H35" s="20" t="str">
        <f aca="false">IF(F35="",H34,H34&amp;", "&amp;G35)</f>
        <v>{"enabled": true, "name": "Salad servers VISION CROM. PR large", "currentPrice": 94, "categories": "salad-servers", "imageUrls": ["/img/products/dining/salad-servers/4000530642790/1.jpg", "/img/products/dining/salad-servers/4000530642790/2.jpg"], "quantity": 1, "color": "stainless steel", "productUrl": "/salad-servers-vision-crom.-pr-large-4000530642790", "brand": "WMF", "manufacturerCountry": "Germany", "myCustomParams":{"EAN": 4000530642790, "collection": "Vision", "material": "Cromargan protect", "care": "Dishwasher safe", "sizes": {"length": 25}, "setSize": 2, "inPromo": 'false, "fragile": false, "status": "active", "inductionCompatibale": "'false"</v>
      </c>
      <c r="I35" s="21" t="s">
        <v>65</v>
      </c>
    </row>
    <row r="36" customFormat="false" ht="38" hidden="false" customHeight="false" outlineLevel="0" collapsed="false">
      <c r="A36" s="30" t="s">
        <v>127</v>
      </c>
      <c r="B36" s="23" t="s">
        <v>74</v>
      </c>
      <c r="C36" s="30" t="s">
        <v>67</v>
      </c>
      <c r="D36" s="23" t="s">
        <v>62</v>
      </c>
      <c r="E36" s="23"/>
      <c r="F36" s="19" t="s">
        <v>128</v>
      </c>
      <c r="G36" s="20" t="str">
        <f aca="false">IF(C36="String",$B$1&amp;$A36&amp;$B$1&amp;": "&amp;$B$1&amp;$F36&amp;$B$1,$B$1&amp;$A36&amp;$B$1&amp;": "&amp;$F36)</f>
        <v>"buildingMaterial": "matt"</v>
      </c>
      <c r="H36" s="20" t="str">
        <f aca="false">IF(F36="",H33,H33&amp;", "&amp;G36)</f>
        <v>{"enabled": true, "name": "Salad servers VISION CROM. PR large", "currentPrice": 94, "categories": "salad-servers", "imageUrls": ["/img/products/dining/salad-servers/4000530642790/1.jpg", "/img/products/dining/salad-servers/4000530642790/2.jpg"], "quantity": 1, "color": "stainless steel", "productUrl": "/salad-servers-vision-crom.-pr-large-4000530642790", "brand": "WMF", "manufacturerCountry": "Germany", "myCustomParams":{"EAN": 4000530642790, "collection": "Vision", "material": "Cromargan protect", "care": "Dishwasher safe", "sizes": {"length": 25}, "setSize": 2, "inPromo": 'false, "fragile": false, "status": "active", "buildingMaterial": "matt"</v>
      </c>
      <c r="I36" s="21" t="s">
        <v>65</v>
      </c>
    </row>
    <row r="37" customFormat="false" ht="15" hidden="false" customHeight="false" outlineLevel="0" collapsed="false">
      <c r="A37" s="30" t="s">
        <v>129</v>
      </c>
      <c r="B37" s="23" t="s">
        <v>74</v>
      </c>
      <c r="C37" s="23" t="s">
        <v>80</v>
      </c>
      <c r="D37" s="23" t="s">
        <v>62</v>
      </c>
      <c r="E37" s="23"/>
      <c r="F37" s="19" t="s">
        <v>130</v>
      </c>
      <c r="G37" s="20" t="str">
        <f aca="false">IF(C37="String",$B$1&amp;$A37&amp;$B$1&amp;": "&amp;$B$1&amp;$F37&amp;$B$1,$B$1&amp;$A37&amp;$B$1&amp;": "&amp;$F37)</f>
        <v>"productHighlights": ["1 each salad fork and serving spoon.", "Material: Cromargan protects stainless steel matt finish. Rust-free, dishwasher safe, dimensionally stable, sanitary, acid resistant, indestructible and scratch-resistant.", "Extremely scratch resistant: Silverware stays like new for many years and does not indicate any traces of use even when intensively used on a daily basis. WMF Cromargan Protect silverware undergoes a patented process that is exclusive at WMF to strengthen the resistance to traces of use.", "Made by WMF - Production at our own WMF plant in Heshan.", "Design: WMF Atelier (Peter Bäurle). Design prize: red dot award, Good Design."]</v>
      </c>
      <c r="H37" s="20" t="str">
        <f aca="false">IF(F37="",H36,H36&amp;", "&amp;G37)</f>
        <v>{"enabled": true, "name": "Salad servers VISION CROM. PR large", "currentPrice": 94, "categories": "salad-servers", "imageUrls": ["/img/products/dining/salad-servers/4000530642790/1.jpg", "/img/products/dining/salad-servers/4000530642790/2.jpg"], "quantity": 1, "color": "stainless steel", "productUrl": "/salad-servers-vision-crom.-pr-large-4000530642790", "brand": "WMF", "manufacturerCountry": "Germany", "myCustomParams":{"EAN": 4000530642790, "collection": "Vision", "material": "Cromargan protect", "care": "Dishwasher safe", "sizes": {"length": 25}, "setSize": 2, "inPromo": 'false, "fragile": false, "status": "active", "buildingMaterial": "matt", "productHighlights": ["1 each salad fork and serving spoon.", "Material: Cromargan protects stainless steel matt finish. Rust-free, dishwasher safe, dimensionally stable, sanitary, acid resistant, indestructible and scratch-resistant.", "Extremely scratch resistant: Silverware stays like new for many years and does not indicate any traces of use even when intensively used on a daily basis. WMF Cromargan Protect silverware undergoes a patented process that is exclusive at WMF to strengthen the resistance to traces of use.", "Made by WMF - Production at our own WMF plant in Heshan.", "Design: WMF Atelier (Peter Bäurle). Design prize: red dot award, Good Design."]</v>
      </c>
      <c r="I37" s="21" t="s">
        <v>65</v>
      </c>
    </row>
    <row r="38" customFormat="false" ht="63.6" hidden="false" customHeight="true" outlineLevel="0" collapsed="false">
      <c r="A38" s="22" t="s">
        <v>131</v>
      </c>
      <c r="B38" s="23" t="s">
        <v>74</v>
      </c>
      <c r="C38" s="23" t="s">
        <v>80</v>
      </c>
      <c r="D38" s="23" t="s">
        <v>62</v>
      </c>
      <c r="E38" s="23"/>
      <c r="F38" s="19" t="s">
        <v>132</v>
      </c>
      <c r="G38" s="20" t="str">
        <f aca="false">IF(C38="String",$B$1&amp;$A38&amp;$B$1&amp;": "&amp;$B$1&amp;$F38&amp;$B$1,$B$1&amp;$A38&amp;$B$1&amp;": "&amp;$F38)</f>
        <v>"productDescription": ["Mix, pick up, serve: No question, a salad servers are part of a fresh salad. It is always in two parts, and its flat, extremely generously sized bowls make it easy to pick up the salad - in such a way that excess dressing can drip off easily before serving. The long handles of the cutlery ensure comfortable handling and at the same time prevent it from slipping into the salad keys.", "Its unusual length, its slim shape and its silky matt surface immediately catch the eye. No question: The WMF Vision cutlery is something special. Designer Peter Bäurle created cutlery that was both solid and plastic with balanced proportions and an asymmetrical facet at the end of the stem. An eye-catcher is the knife with the forged blade inserted: it can be covered lying or standing on the blade. Your place setting looks very stylish with the many matching serving and supplementary parts."]</v>
      </c>
      <c r="H38" s="20" t="str">
        <f aca="false">IF(F38="",H37,H37&amp;", "&amp;G38)</f>
        <v>{"enabled": true, "name": "Salad servers VISION CROM. PR large", "currentPrice": 94, "categories": "salad-servers", "imageUrls": ["/img/products/dining/salad-servers/4000530642790/1.jpg", "/img/products/dining/salad-servers/4000530642790/2.jpg"], "quantity": 1, "color": "stainless steel", "productUrl": "/salad-servers-vision-crom.-pr-large-4000530642790", "brand": "WMF", "manufacturerCountry": "Germany", "myCustomParams":{"EAN": 4000530642790, "collection": "Vision", "material": "Cromargan protect", "care": "Dishwasher safe", "sizes": {"length": 25}, "setSize": 2, "inPromo": 'false, "fragile": false, "status": "active", "buildingMaterial": "matt", "productHighlights": ["1 each salad fork and serving spoon.", "Material: Cromargan protects stainless steel matt finish. Rust-free, dishwasher safe, dimensionally stable, sanitary, acid resistant, indestructible and scratch-resistant.", "Extremely scratch resistant: Silverware stays like new for many years and does not indicate any traces of use even when intensively used on a daily basis. WMF Cromargan Protect silverware undergoes a patented process that is exclusive at WMF to strengthen the resistance to traces of use.", "Made by WMF - Production at our own WMF plant in Heshan.", "Design: WMF Atelier (Peter Bäurle). Design prize: red dot award, Good Design."], "productDescription": ["Mix, pick up, serve: No question, a salad servers are part of a fresh salad. It is always in two parts, and its flat, extremely generously sized bowls make it easy to pick up the salad - in such a way that excess dressing can drip off easily before serving. The long handles of the cutlery ensure comfortable handling and at the same time prevent it from slipping into the salad keys.", "Its unusual length, its slim shape and its silky matt surface immediately catch the eye. No question: The WMF Vision cutlery is something special. Designer Peter Bäurle created cutlery that was both solid and plastic with balanced proportions and an asymmetrical facet at the end of the stem. An eye-catcher is the knife with the forged blade inserted: it can be covered lying or standing on the blade. Your place setting looks very stylish with the many matching serving and supplementary parts."]</v>
      </c>
      <c r="I38" s="21" t="s">
        <v>65</v>
      </c>
    </row>
    <row r="39" customFormat="false" ht="15.6" hidden="false" customHeight="false" outlineLevel="0" collapsed="false">
      <c r="F39" s="25" t="s">
        <v>98</v>
      </c>
      <c r="G39" s="20" t="s">
        <v>133</v>
      </c>
      <c r="H39" s="20" t="str">
        <f aca="false">IF(F39="",H38,H38&amp;G39)</f>
        <v>{"enabled": true, "name": "Salad servers VISION CROM. PR large", "currentPrice": 94, "categories": "salad-servers", "imageUrls": ["/img/products/dining/salad-servers/4000530642790/1.jpg", "/img/products/dining/salad-servers/4000530642790/2.jpg"], "quantity": 1, "color": "stainless steel", "productUrl": "/salad-servers-vision-crom.-pr-large-4000530642790", "brand": "WMF", "manufacturerCountry": "Germany", "myCustomParams":{"EAN": 4000530642790, "collection": "Vision", "material": "Cromargan protect", "care": "Dishwasher safe", "sizes": {"length": 25}, "setSize": 2, "inPromo": 'false, "fragile": false, "status": "active", "buildingMaterial": "matt", "productHighlights": ["1 each salad fork and serving spoon.", "Material: Cromargan protects stainless steel matt finish. Rust-free, dishwasher safe, dimensionally stable, sanitary, acid resistant, indestructible and scratch-resistant.", "Extremely scratch resistant: Silverware stays like new for many years and does not indicate any traces of use even when intensively used on a daily basis. WMF Cromargan Protect silverware undergoes a patented process that is exclusive at WMF to strengthen the resistance to traces of use.", "Made by WMF - Production at our own WMF plant in Heshan.", "Design: WMF Atelier (Peter Bäurle). Design prize: red dot award, Good Design."], "productDescription": ["Mix, pick up, serve: No question, a salad servers are part of a fresh salad. It is always in two parts, and its flat, extremely generously sized bowls make it easy to pick up the salad - in such a way that excess dressing can drip off easily before serving. The long handles of the cutlery ensure comfortable handling and at the same time prevent it from slipping into the salad keys.", "Its unusual length, its slim shape and its silky matt surface immediately catch the eye. No question: The WMF Vision cutlery is something special. Designer Peter Bäurle created cutlery that was both solid and plastic with balanced proportions and an asymmetrical facet at the end of the stem. An eye-catcher is the knife with the forged blade inserted: it can be covered lying or standing on the blade. Your place setting looks very stylish with the many matching serving and supplementary parts."]} }</v>
      </c>
      <c r="I39" s="21" t="s">
        <v>65</v>
      </c>
    </row>
    <row r="40" customFormat="false" ht="15.6" hidden="false" customHeight="false" outlineLevel="0" collapsed="false">
      <c r="H40" s="26"/>
      <c r="I40" s="21"/>
    </row>
    <row r="41" customFormat="false" ht="73.8" hidden="false" customHeight="true" outlineLevel="0" collapsed="false">
      <c r="E41" s="9" t="s">
        <v>134</v>
      </c>
      <c r="G41" s="31"/>
      <c r="H41" s="32" t="s">
        <v>135</v>
      </c>
      <c r="I41" s="21" t="s">
        <v>65</v>
      </c>
    </row>
    <row r="42" customFormat="false" ht="104.4" hidden="false" customHeight="true" outlineLevel="0" collapsed="false">
      <c r="G42" s="33" t="s">
        <v>136</v>
      </c>
      <c r="H42" s="34" t="s">
        <v>137</v>
      </c>
      <c r="I42" s="21" t="s">
        <v>65</v>
      </c>
    </row>
    <row r="43" customFormat="false" ht="16.2" hidden="false" customHeight="false" outlineLevel="0" collapsed="false"/>
  </sheetData>
  <dataValidations count="2">
    <dataValidation allowBlank="true" operator="between" showDropDown="false" showErrorMessage="true" showInputMessage="true" sqref="F33" type="list">
      <formula1>"active,selout,seasonal,blocked"</formula1>
      <formula2>0</formula2>
    </dataValidation>
    <dataValidation allowBlank="true" operator="between" showDropDown="false" showErrorMessage="true" showInputMessage="true" sqref="F4 F28 F31 F35" type="list">
      <formula1>"'true,'false"</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docProps/app.xml><?xml version="1.0" encoding="utf-8"?>
<Properties xmlns="http://schemas.openxmlformats.org/officeDocument/2006/extended-properties" xmlns:vt="http://schemas.openxmlformats.org/officeDocument/2006/docPropsVTypes">
  <Template/>
  <TotalTime>140</TotalTime>
  <Application>Trio_Office/6.2.8.2$Windows_x86 LibreOffice_project/</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2020-01-09T09:24:19Z</dcterms:created>
  <dc:creator>Межерицкий Владислав</dc:creator>
  <dc:description/>
  <dc:language>ru-RU</dc:language>
  <cp:lastModifiedBy/>
  <dcterms:modified xsi:type="dcterms:W3CDTF">2020-01-15T00:32:06Z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