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E:\VLAD\IT\DAN_IT\FEM3-FINAL-PROJECT\Database_upload\"/>
    </mc:Choice>
  </mc:AlternateContent>
  <xr:revisionPtr revIDLastSave="0" documentId="13_ncr:1_{1D65BA5E-6B31-4FAF-857D-24E37CFA8369}" xr6:coauthVersionLast="45" xr6:coauthVersionMax="45" xr10:uidLastSave="{00000000-0000-0000-0000-000000000000}"/>
  <bookViews>
    <workbookView xWindow="-108" yWindow="-108" windowWidth="23256" windowHeight="12576" firstSheet="1" activeTab="1" xr2:uid="{904C5962-C68D-4EDD-B96F-336E3766755B}"/>
  </bookViews>
  <sheets>
    <sheet name="Sheet1" sheetId="1" state="hidden"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5" i="2" l="1"/>
  <c r="G34" i="2"/>
  <c r="G38" i="2"/>
  <c r="G37" i="2"/>
  <c r="G36" i="2"/>
  <c r="G33" i="2"/>
  <c r="G32" i="2"/>
  <c r="G31" i="2"/>
  <c r="G30" i="2"/>
  <c r="G29" i="2"/>
  <c r="G28" i="2"/>
  <c r="G27" i="2"/>
  <c r="G26" i="2"/>
  <c r="G25" i="2"/>
  <c r="G24" i="2"/>
  <c r="G23" i="2"/>
  <c r="G22" i="2"/>
  <c r="G21" i="2"/>
  <c r="G20" i="2"/>
  <c r="G19" i="2"/>
  <c r="G7" i="2"/>
  <c r="G8" i="2"/>
  <c r="G9" i="2"/>
  <c r="G10" i="2"/>
  <c r="G11" i="2"/>
  <c r="G13" i="2"/>
  <c r="G14" i="2"/>
  <c r="G15" i="2"/>
  <c r="G5" i="2"/>
  <c r="G6" i="2"/>
  <c r="G4" i="2"/>
  <c r="F12" i="2"/>
  <c r="G12" i="2" s="1"/>
  <c r="H4" i="2" l="1"/>
  <c r="H5" i="2" l="1"/>
  <c r="H6" i="2" s="1"/>
  <c r="H7" i="2" s="1"/>
  <c r="H8" i="2" s="1"/>
  <c r="H9" i="2" s="1"/>
  <c r="H10" i="2" s="1"/>
  <c r="H11" i="2" s="1"/>
  <c r="H12" i="2" l="1"/>
  <c r="H13" i="2" s="1"/>
  <c r="H14" i="2" s="1"/>
  <c r="H15" i="2" s="1"/>
  <c r="H18" i="2" s="1"/>
  <c r="H19" i="2" l="1"/>
  <c r="H20" i="2" s="1"/>
  <c r="H21" i="2" s="1"/>
  <c r="H22" i="2" s="1"/>
  <c r="H23" i="2" s="1"/>
  <c r="H24" i="2" s="1"/>
  <c r="H25" i="2" s="1"/>
  <c r="H26" i="2" l="1"/>
  <c r="H27" i="2" s="1"/>
  <c r="H28" i="2" l="1"/>
  <c r="H29" i="2" s="1"/>
  <c r="H30" i="2" s="1"/>
  <c r="H31" i="2" s="1"/>
  <c r="H32" i="2" s="1"/>
  <c r="H33" i="2" s="1"/>
  <c r="H36" i="2" l="1"/>
  <c r="H37" i="2" s="1"/>
  <c r="H38" i="2" s="1"/>
  <c r="H39" i="2" s="1"/>
  <c r="H34" i="2"/>
  <c r="H3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F6" authorId="0" shapeId="0" xr:uid="{A546489F-228E-4416-835D-E32DC81C99DC}">
      <text>
        <r>
          <rPr>
            <b/>
            <sz val="9"/>
            <color indexed="81"/>
            <rFont val="Tahoma"/>
            <family val="2"/>
            <charset val="204"/>
          </rPr>
          <t>Межерицкий Владислав:</t>
        </r>
        <r>
          <rPr>
            <sz val="9"/>
            <color indexed="81"/>
            <rFont val="Tahoma"/>
            <family val="2"/>
            <charset val="204"/>
          </rPr>
          <t xml:space="preserve">
без копеек</t>
        </r>
      </text>
    </comment>
    <comment ref="F7" authorId="0" shapeId="0" xr:uid="{53027F13-A0F2-44ED-82C5-FF690F359D90}">
      <text>
        <r>
          <rPr>
            <b/>
            <sz val="9"/>
            <color indexed="81"/>
            <rFont val="Tahoma"/>
            <family val="2"/>
            <charset val="204"/>
          </rPr>
          <t>Межерицкий Владислав:</t>
        </r>
        <r>
          <rPr>
            <sz val="9"/>
            <color indexed="81"/>
            <rFont val="Tahoma"/>
            <family val="2"/>
            <charset val="204"/>
          </rPr>
          <t xml:space="preserve">
без копеек</t>
        </r>
      </text>
    </comment>
    <comment ref="F8" authorId="0" shapeId="0" xr:uid="{F8F575D4-F360-4B5D-AD45-6D28ECA6A651}">
      <text>
        <r>
          <rPr>
            <b/>
            <sz val="9"/>
            <color indexed="81"/>
            <rFont val="Tahoma"/>
            <family val="2"/>
            <charset val="204"/>
          </rPr>
          <t>Межерицкий Владислав:</t>
        </r>
        <r>
          <rPr>
            <sz val="9"/>
            <color indexed="81"/>
            <rFont val="Tahoma"/>
            <family val="2"/>
            <charset val="204"/>
          </rPr>
          <t xml:space="preserve">
- самая нижняя для этого продукта
- с маленькой буквы и через дефис
</t>
        </r>
      </text>
    </comment>
    <comment ref="F9" authorId="0" shapeId="0" xr:uid="{6E2FFD9C-7F00-4B45-A85D-742EA36E7910}">
      <text>
        <r>
          <rPr>
            <b/>
            <sz val="9"/>
            <color indexed="81"/>
            <rFont val="Tahoma"/>
            <family val="2"/>
            <charset val="204"/>
          </rPr>
          <t xml:space="preserve">Межерицкий Владислав:
</t>
        </r>
        <r>
          <rPr>
            <sz val="9"/>
            <color indexed="81"/>
            <rFont val="Tahoma"/>
            <family val="2"/>
            <charset val="204"/>
          </rPr>
          <t>массив строк
путь в папке Public/…/
(начинать с img/…)</t>
        </r>
      </text>
    </comment>
    <comment ref="F12" authorId="0" shapeId="0" xr:uid="{69270ABD-D2FD-423D-8DCD-263D7E07113A}">
      <text>
        <r>
          <rPr>
            <b/>
            <sz val="9"/>
            <color indexed="81"/>
            <rFont val="Tahoma"/>
            <family val="2"/>
            <charset val="204"/>
          </rPr>
          <t>Межерицкий Владислав:</t>
        </r>
        <r>
          <rPr>
            <sz val="9"/>
            <color indexed="81"/>
            <rFont val="Tahoma"/>
            <family val="2"/>
            <charset val="204"/>
          </rPr>
          <t xml:space="preserve">
don't touch!</t>
        </r>
      </text>
    </comment>
    <comment ref="F23" authorId="0" shapeId="0" xr:uid="{F58A1962-C783-47BC-8BE6-CD06170145E0}">
      <text>
        <r>
          <rPr>
            <b/>
            <sz val="9"/>
            <color indexed="81"/>
            <rFont val="Tahoma"/>
            <family val="2"/>
            <charset val="204"/>
          </rPr>
          <t>Межерицкий Владислав:</t>
        </r>
        <r>
          <rPr>
            <sz val="9"/>
            <color indexed="81"/>
            <rFont val="Tahoma"/>
            <family val="2"/>
            <charset val="204"/>
          </rPr>
          <t xml:space="preserve">
Object</t>
        </r>
      </text>
    </comment>
    <comment ref="F37" authorId="0" shapeId="0" xr:uid="{F0D6F6FB-B13C-4043-A272-EB91353B1683}">
      <text>
        <r>
          <rPr>
            <b/>
            <sz val="9"/>
            <color indexed="81"/>
            <rFont val="Tahoma"/>
            <family val="2"/>
            <charset val="204"/>
          </rPr>
          <t>Межерицкий Владислав:</t>
        </r>
        <r>
          <rPr>
            <sz val="9"/>
            <color indexed="81"/>
            <rFont val="Tahoma"/>
            <family val="2"/>
            <charset val="204"/>
          </rPr>
          <t xml:space="preserve">
array of strings</t>
        </r>
      </text>
    </comment>
    <comment ref="F38" authorId="0" shapeId="0" xr:uid="{DBE4C321-4C92-4B8A-A91D-6F365B094945}">
      <text>
        <r>
          <rPr>
            <b/>
            <sz val="9"/>
            <color indexed="81"/>
            <rFont val="Tahoma"/>
            <family val="2"/>
            <charset val="204"/>
          </rPr>
          <t>Межерицкий Владислав:</t>
        </r>
        <r>
          <rPr>
            <sz val="9"/>
            <color indexed="81"/>
            <rFont val="Tahoma"/>
            <family val="2"/>
            <charset val="204"/>
          </rPr>
          <t xml:space="preserve">
array of strings</t>
        </r>
      </text>
    </comment>
  </commentList>
</comments>
</file>

<file path=xl/sharedStrings.xml><?xml version="1.0" encoding="utf-8"?>
<sst xmlns="http://schemas.openxmlformats.org/spreadsheetml/2006/main" count="286" uniqueCount="137">
  <si>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</si>
  <si>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</si>
  <si>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</si>
  <si>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</si>
  <si>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</si>
  <si>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</si>
  <si>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</si>
  <si>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</si>
  <si>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</si>
  <si>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</si>
  <si>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</si>
  <si>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</si>
  <si>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</si>
  <si>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</si>
  <si>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</si>
  <si>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</si>
  <si>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</si>
  <si>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</si>
  <si>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</si>
  <si>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</si>
  <si>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</si>
  <si>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</si>
  <si>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</si>
  <si>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</si>
  <si>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</si>
  <si>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</si>
  <si>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</si>
  <si>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</si>
  <si>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</si>
  <si>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</si>
  <si>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</si>
  <si>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</si>
  <si>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</si>
  <si>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</si>
  <si>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</si>
  <si>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</si>
  <si>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</si>
  <si>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</si>
  <si>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</si>
  <si>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</si>
  <si>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</si>
  <si>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</si>
  <si>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</si>
  <si>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</si>
  <si>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</si>
  <si>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</si>
  <si>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</si>
  <si>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</si>
  <si>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</si>
  <si>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</si>
  <si>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</si>
  <si>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</si>
  <si>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</si>
  <si>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</si>
  <si>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</si>
  <si>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</si>
  <si>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</si>
  <si>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</si>
  <si>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</si>
  <si>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</si>
  <si>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</si>
  <si>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</si>
  <si>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</si>
  <si>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</si>
  <si>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</si>
  <si>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</si>
  <si>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</si>
  <si>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</si>
  <si>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</si>
  <si>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</si>
  <si>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</si>
  <si>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</si>
  <si>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</si>
  <si>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</si>
  <si>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</si>
  <si>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</si>
  <si>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</si>
  <si>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</si>
  <si>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</si>
  <si>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</si>
  <si>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</si>
  <si>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Quantity of product in store. default = 0</t>
  </si>
  <si>
    <t>myCustomParam:</t>
  </si>
  <si>
    <t>штрих код товара</t>
  </si>
  <si>
    <t>how many pieces in set</t>
  </si>
  <si>
    <t>setSize</t>
  </si>
  <si>
    <t>care</t>
  </si>
  <si>
    <t>material</t>
  </si>
  <si>
    <t>collection</t>
  </si>
  <si>
    <t>capacity</t>
  </si>
  <si>
    <t>power</t>
  </si>
  <si>
    <t>voltage</t>
  </si>
  <si>
    <t>for home appliance</t>
  </si>
  <si>
    <t>in our case can be different metrics (diameter, length, width etc)</t>
  </si>
  <si>
    <t>Сrossed out price (if promotion)</t>
  </si>
  <si>
    <t>"</t>
  </si>
  <si>
    <t>{</t>
  </si>
  <si>
    <t>}</t>
  </si>
  <si>
    <t>VALUE</t>
  </si>
  <si>
    <t>tech</t>
  </si>
  <si>
    <t>} }</t>
  </si>
  <si>
    <t>true</t>
  </si>
  <si>
    <t>*</t>
  </si>
  <si>
    <t>Step 1</t>
  </si>
  <si>
    <t>Step 2</t>
  </si>
  <si>
    <t>=&gt;</t>
  </si>
  <si>
    <t>JSON format =&gt;</t>
  </si>
  <si>
    <t>productDescription</t>
  </si>
  <si>
    <t>CELLS TO BE FILLED</t>
  </si>
  <si>
    <t>DO NOT TOUCH</t>
  </si>
  <si>
    <t>Germany</t>
  </si>
  <si>
    <t>in mililiters (for glasses)</t>
  </si>
  <si>
    <t>inPromo</t>
  </si>
  <si>
    <t>similarProducts</t>
  </si>
  <si>
    <t>crossSellingProducts</t>
  </si>
  <si>
    <t>fragile</t>
  </si>
  <si>
    <t>rating</t>
  </si>
  <si>
    <t>status</t>
  </si>
  <si>
    <t>buildingMaterial</t>
  </si>
  <si>
    <t>productHighlights</t>
  </si>
  <si>
    <t>, "myCustomParams":{</t>
  </si>
  <si>
    <t>WMF PermaDur Inspire frying pan Ø 20 cm</t>
  </si>
  <si>
    <t>WMF Corp</t>
  </si>
  <si>
    <t>PermaDur Inspire</t>
  </si>
  <si>
    <t>Kunststoff</t>
  </si>
  <si>
    <t>{"diameter": 20}</t>
  </si>
  <si>
    <t>grey</t>
  </si>
  <si>
    <t>false</t>
  </si>
  <si>
    <t>active</t>
  </si>
  <si>
    <t>["Be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t>
  </si>
  <si>
    <t>["3-layer PermaDur non-stick coating, PFOA free", "Aluminium base, suitable for induction", "wide pouring rim for pour out liquids without drips", "plastic handle with flame guard", "Easy to clean"]</t>
  </si>
  <si>
    <t>stoveType</t>
  </si>
  <si>
    <t>inductionCompatibale</t>
  </si>
  <si>
    <t>glass-ceramic, gas, electric and induction stoves</t>
  </si>
  <si>
    <t>["/img/products/cooking/frying-pans/199569/1.jpg", "/img/products/cooking/frying-pans/199569/2.jpg", "/img/products/cooking/frying-pans/199569/3.jpg", "/img/products/cooking/frying-pans/199569/4.jpg"]</t>
  </si>
  <si>
    <t>{"enabled":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 }</t>
  </si>
  <si>
    <t>frying-pans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</si>
</sst>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12"/>
      <color rgb="FFFF0000"/>
      <name val="Calibri"/>
      <family val="2"/>
      <charset val="204"/>
      <scheme val="minor"/>
    </font>
    <font>
      <b/>
      <sz val="20"/>
      <color rgb="FFFF0000"/>
      <name val="Calibri"/>
      <family val="2"/>
      <charset val="204"/>
      <scheme val="minor"/>
    </font>
    <font>
      <sz val="11"/>
      <color rgb="FF000000"/>
      <name val="Calibri"/>
      <family val="2"/>
      <charset val="204"/>
    </font>
    <font>
      <b/>
      <sz val="9"/>
      <color indexed="81"/>
      <name val="Tahoma"/>
      <family val="2"/>
      <charset val="204"/>
    </font>
    <font>
      <sz val="9"/>
      <color indexed="81"/>
      <name val="Tahoma"/>
      <family val="2"/>
      <charset val="204"/>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5">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7" fillId="5" borderId="1" xfId="0" applyFont="1" applyFill="1" applyBorder="1" applyAlignment="1">
      <alignment horizontal="center" vertical="center" wrapText="1"/>
    </xf>
    <xf numFmtId="0" fontId="2" fillId="0" borderId="0" xfId="0" applyFont="1" applyBorder="1" applyAlignment="1">
      <alignment horizontal="center" vertical="center" wrapText="1"/>
    </xf>
    <xf numFmtId="0" fontId="8"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9" fillId="0" borderId="0" xfId="0" quotePrefix="1" applyFont="1" applyBorder="1" applyAlignment="1">
      <alignment horizontal="center" vertical="center" textRotation="180" wrapText="1"/>
    </xf>
    <xf numFmtId="0" fontId="2" fillId="0" borderId="3" xfId="0" applyFont="1" applyBorder="1" applyAlignment="1" applyProtection="1">
      <alignment vertical="center" wrapText="1"/>
      <protection locked="0"/>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xf numFmtId="0" fontId="2" fillId="0" borderId="1" xfId="0" applyFont="1" applyBorder="1" applyAlignment="1">
      <alignment vertical="center" wrapText="1"/>
    </xf>
    <xf numFmtId="0" fontId="2" fillId="6" borderId="1" xfId="0" quotePrefix="1" applyFont="1" applyFill="1" applyBorder="1" applyAlignment="1" applyProtection="1">
      <alignment horizontal="left" vertical="center"/>
      <protection locked="0"/>
    </xf>
    <xf numFmtId="0" fontId="2" fillId="6" borderId="1" xfId="0" applyFont="1" applyFill="1" applyBorder="1" applyAlignment="1" applyProtection="1">
      <alignment horizontal="left" vertical="center"/>
      <protection locked="0"/>
    </xf>
    <xf numFmtId="0" fontId="2" fillId="0" borderId="1" xfId="0" applyFont="1" applyFill="1" applyBorder="1" applyAlignment="1" applyProtection="1">
      <alignment horizontal="left" vertical="center"/>
    </xf>
    <xf numFmtId="0" fontId="2" fillId="7" borderId="0" xfId="0" applyFont="1" applyFill="1" applyBorder="1" applyAlignment="1" applyProtection="1">
      <alignment horizontal="left" vertical="center"/>
    </xf>
    <xf numFmtId="0" fontId="2" fillId="0" borderId="0" xfId="0" applyFont="1" applyBorder="1" applyAlignment="1" applyProtection="1">
      <alignment horizontal="left" vertical="center"/>
    </xf>
    <xf numFmtId="1" fontId="2" fillId="6" borderId="1" xfId="0" applyNumberFormat="1" applyFont="1" applyFill="1" applyBorder="1" applyAlignment="1" applyProtection="1">
      <alignment horizontal="left"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40</xdr:row>
          <xdr:rowOff>60960</xdr:rowOff>
        </xdr:from>
        <xdr:to>
          <xdr:col>6</xdr:col>
          <xdr:colOff>1219200</xdr:colOff>
          <xdr:row>40</xdr:row>
          <xdr:rowOff>891540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UA" sz="1100" b="0" i="0" u="none" strike="noStrike" baseline="0">
                  <a:solidFill>
                    <a:srgbClr val="000000"/>
                  </a:solidFill>
                  <a:latin typeface="Calibri"/>
                  <a:cs typeface="Calibri"/>
                </a:rPr>
                <a:t>PRESS ME!</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MAKE JSON GREAT AGAIN:)</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RowHeight="14.4" x14ac:dyDescent="0.3"/>
  <cols>
    <col min="1" max="1" width="8.88671875" style="1"/>
    <col min="2" max="2" width="16.109375" style="1" bestFit="1" customWidth="1"/>
    <col min="3" max="3" width="42.44140625" style="1" customWidth="1"/>
    <col min="4" max="4" width="24.33203125" style="1" customWidth="1"/>
    <col min="5" max="5" width="17.21875" style="1" bestFit="1" customWidth="1"/>
    <col min="6" max="16384" width="8.88671875" style="1"/>
  </cols>
  <sheetData>
    <row r="2" spans="2:6" x14ac:dyDescent="0.3">
      <c r="B2" s="2" t="s">
        <v>0</v>
      </c>
      <c r="C2" s="3" t="s">
        <v>1</v>
      </c>
      <c r="E2" s="1" t="s">
        <v>42</v>
      </c>
      <c r="F2" s="1" t="s">
        <v>40</v>
      </c>
    </row>
    <row r="3" spans="2:6" x14ac:dyDescent="0.3">
      <c r="B3" s="2" t="s">
        <v>2</v>
      </c>
      <c r="C3" s="4">
        <v>4000530576484</v>
      </c>
      <c r="E3" s="1" t="s">
        <v>39</v>
      </c>
      <c r="F3" s="1" t="s">
        <v>41</v>
      </c>
    </row>
    <row r="4" spans="2:6" x14ac:dyDescent="0.3">
      <c r="B4" s="2" t="s">
        <v>3</v>
      </c>
      <c r="C4" s="3" t="s">
        <v>4</v>
      </c>
    </row>
    <row r="5" spans="2:6" x14ac:dyDescent="0.3">
      <c r="B5" s="2" t="s">
        <v>5</v>
      </c>
      <c r="C5" s="3" t="s">
        <v>6</v>
      </c>
    </row>
    <row r="6" spans="2:6" x14ac:dyDescent="0.3">
      <c r="B6" s="2" t="s">
        <v>7</v>
      </c>
      <c r="C6" s="3" t="s">
        <v>8</v>
      </c>
    </row>
    <row r="7" spans="2:6" x14ac:dyDescent="0.3">
      <c r="B7" s="2" t="s">
        <v>9</v>
      </c>
      <c r="C7" s="3" t="s">
        <v>10</v>
      </c>
    </row>
    <row r="8" spans="2:6" x14ac:dyDescent="0.3">
      <c r="B8" s="2" t="s">
        <v>11</v>
      </c>
      <c r="C8" s="3" t="s">
        <v>12</v>
      </c>
      <c r="E8" s="1" t="s">
        <v>43</v>
      </c>
      <c r="F8" s="1" t="s">
        <v>44</v>
      </c>
    </row>
    <row r="9" spans="2:6" x14ac:dyDescent="0.3">
      <c r="B9" s="5" t="s">
        <v>13</v>
      </c>
      <c r="C9" s="3" t="s">
        <v>14</v>
      </c>
      <c r="E9" s="1" t="s">
        <v>2</v>
      </c>
      <c r="F9" s="1" t="s">
        <v>45</v>
      </c>
    </row>
    <row r="10" spans="2:6" x14ac:dyDescent="0.3">
      <c r="B10" s="5" t="s">
        <v>15</v>
      </c>
      <c r="C10" s="3">
        <v>24</v>
      </c>
      <c r="E10" s="1" t="s">
        <v>3</v>
      </c>
    </row>
    <row r="11" spans="2:6" x14ac:dyDescent="0.3">
      <c r="B11" s="5" t="s">
        <v>16</v>
      </c>
      <c r="C11" s="3" t="s">
        <v>17</v>
      </c>
    </row>
    <row r="12" spans="2:6" x14ac:dyDescent="0.3">
      <c r="B12" s="5" t="s">
        <v>18</v>
      </c>
      <c r="C12" s="3" t="s">
        <v>19</v>
      </c>
    </row>
    <row r="13" spans="2:6" x14ac:dyDescent="0.3">
      <c r="B13" s="5" t="s">
        <v>20</v>
      </c>
      <c r="C13" s="3" t="s">
        <v>21</v>
      </c>
    </row>
    <row r="14" spans="2:6" x14ac:dyDescent="0.3">
      <c r="B14" s="6" t="s">
        <v>22</v>
      </c>
      <c r="C14" s="7" t="s">
        <v>23</v>
      </c>
    </row>
    <row r="17" spans="2:3" x14ac:dyDescent="0.3">
      <c r="B17" s="5" t="s">
        <v>0</v>
      </c>
      <c r="C17" s="3" t="s">
        <v>24</v>
      </c>
    </row>
    <row r="18" spans="2:3" x14ac:dyDescent="0.3">
      <c r="B18" s="5" t="s">
        <v>2</v>
      </c>
      <c r="C18" s="3">
        <v>4004633302247</v>
      </c>
    </row>
    <row r="19" spans="2:3" x14ac:dyDescent="0.3">
      <c r="B19" s="5" t="s">
        <v>3</v>
      </c>
      <c r="C19" s="3" t="s">
        <v>25</v>
      </c>
    </row>
    <row r="20" spans="2:3" x14ac:dyDescent="0.3">
      <c r="B20" s="5" t="s">
        <v>5</v>
      </c>
      <c r="C20" s="3" t="s">
        <v>26</v>
      </c>
    </row>
    <row r="21" spans="2:3" x14ac:dyDescent="0.3">
      <c r="B21" s="5" t="s">
        <v>7</v>
      </c>
      <c r="C21" s="3" t="s">
        <v>8</v>
      </c>
    </row>
    <row r="22" spans="2:3" x14ac:dyDescent="0.3">
      <c r="B22" s="5" t="s">
        <v>27</v>
      </c>
      <c r="C22" s="3" t="s">
        <v>28</v>
      </c>
    </row>
    <row r="23" spans="2:3" x14ac:dyDescent="0.3">
      <c r="B23" s="5" t="s">
        <v>9</v>
      </c>
      <c r="C23" s="3" t="s">
        <v>29</v>
      </c>
    </row>
    <row r="24" spans="2:3" x14ac:dyDescent="0.3">
      <c r="B24" s="5" t="s">
        <v>11</v>
      </c>
      <c r="C24" s="3" t="s">
        <v>30</v>
      </c>
    </row>
    <row r="25" spans="2:3" x14ac:dyDescent="0.3">
      <c r="B25" s="5" t="s">
        <v>31</v>
      </c>
      <c r="C25" s="3" t="s">
        <v>32</v>
      </c>
    </row>
    <row r="26" spans="2:3" x14ac:dyDescent="0.3">
      <c r="B26" s="5" t="s">
        <v>33</v>
      </c>
      <c r="C26" s="3" t="s">
        <v>34</v>
      </c>
    </row>
    <row r="27" spans="2:3" x14ac:dyDescent="0.3">
      <c r="B27" s="5" t="s">
        <v>35</v>
      </c>
      <c r="C27" s="3" t="s">
        <v>35</v>
      </c>
    </row>
    <row r="28" spans="2:3" x14ac:dyDescent="0.3">
      <c r="B28" s="5" t="s">
        <v>36</v>
      </c>
      <c r="C28" s="3" t="s">
        <v>37</v>
      </c>
    </row>
    <row r="29" spans="2:3" x14ac:dyDescent="0.3">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I43"/>
  <sheetViews>
    <sheetView tabSelected="1" topLeftCell="E1" zoomScaleNormal="100" workbookViewId="0">
      <pane ySplit="3" topLeftCell="A4" activePane="bottomLeft" state="frozen"/>
      <selection pane="bottomLeft" activeCell="F5" sqref="F5"/>
    </sheetView>
  </sheetViews>
  <sheetFormatPr defaultRowHeight="15.6" outlineLevelRow="1" x14ac:dyDescent="0.3"/>
  <cols>
    <col min="1" max="1" width="26.21875" style="10" customWidth="1"/>
    <col min="2" max="2" width="9" style="10" bestFit="1" customWidth="1"/>
    <col min="3" max="3" width="11" style="10" bestFit="1" customWidth="1"/>
    <col min="4" max="4" width="12" style="10" bestFit="1" customWidth="1"/>
    <col min="5" max="5" width="42.109375" style="10" customWidth="1"/>
    <col min="6" max="6" width="65" style="24" customWidth="1"/>
    <col min="7" max="7" width="19.109375" style="10" customWidth="1"/>
    <col min="8" max="8" width="63.21875" style="10" customWidth="1"/>
    <col min="9" max="9" width="2.109375" style="10" bestFit="1" customWidth="1"/>
    <col min="10" max="16384" width="8.88671875" style="10"/>
  </cols>
  <sheetData>
    <row r="1" spans="1:9" hidden="1" outlineLevel="1" x14ac:dyDescent="0.3">
      <c r="B1" s="19" t="s">
        <v>95</v>
      </c>
      <c r="C1" s="19" t="s">
        <v>96</v>
      </c>
      <c r="D1" s="19" t="s">
        <v>97</v>
      </c>
      <c r="F1" s="10"/>
    </row>
    <row r="2" spans="1:9" customFormat="1" collapsed="1" x14ac:dyDescent="0.3">
      <c r="F2" s="26" t="s">
        <v>108</v>
      </c>
      <c r="G2" s="27" t="s">
        <v>109</v>
      </c>
    </row>
    <row r="3" spans="1:9" ht="31.2" x14ac:dyDescent="0.3">
      <c r="A3" s="16" t="s">
        <v>74</v>
      </c>
      <c r="B3" s="16" t="s">
        <v>75</v>
      </c>
      <c r="C3" s="16" t="s">
        <v>76</v>
      </c>
      <c r="D3" s="16" t="s">
        <v>77</v>
      </c>
      <c r="E3" s="16" t="s">
        <v>78</v>
      </c>
      <c r="F3" s="25" t="s">
        <v>98</v>
      </c>
      <c r="G3" s="20" t="s">
        <v>103</v>
      </c>
      <c r="H3" s="20" t="s">
        <v>104</v>
      </c>
    </row>
    <row r="4" spans="1:9" x14ac:dyDescent="0.3">
      <c r="A4" s="11" t="s">
        <v>46</v>
      </c>
      <c r="B4" s="12" t="s">
        <v>47</v>
      </c>
      <c r="C4" s="12" t="s">
        <v>48</v>
      </c>
      <c r="D4" s="12" t="s">
        <v>49</v>
      </c>
      <c r="E4" s="12" t="s">
        <v>79</v>
      </c>
      <c r="F4" s="29" t="s">
        <v>101</v>
      </c>
      <c r="G4" s="23" t="str">
        <f>IF(C4="String",$B$1&amp;$A4&amp;$B$1&amp;": "&amp;$B$1&amp;$F4&amp;$B$1,$B$1&amp;$A4&amp;$B$1&amp;": "&amp;$F4)</f>
        <v>"enabled": true</v>
      </c>
      <c r="H4" s="23" t="str">
        <f>C1&amp;G4</f>
        <v>{"enabled": true</v>
      </c>
      <c r="I4" s="17" t="s">
        <v>102</v>
      </c>
    </row>
    <row r="5" spans="1:9" ht="30" x14ac:dyDescent="0.3">
      <c r="A5" s="11" t="s">
        <v>50</v>
      </c>
      <c r="B5" s="12" t="s">
        <v>47</v>
      </c>
      <c r="C5" s="12" t="s">
        <v>51</v>
      </c>
      <c r="D5" s="12" t="s">
        <v>49</v>
      </c>
      <c r="E5" s="12" t="s">
        <v>52</v>
      </c>
      <c r="F5" s="30" t="s">
        <v>121</v>
      </c>
      <c r="G5" s="23" t="str">
        <f t="shared" ref="G5:G15" si="0">IF(C5="String",$B$1&amp;$A5&amp;$B$1&amp;": "&amp;$B$1&amp;$F5&amp;$B$1,$B$1&amp;$A5&amp;$B$1&amp;": "&amp;$F5)</f>
        <v>"name": "WMF PermaDur Inspire frying pan Ø 20 cm"</v>
      </c>
      <c r="H5" s="23" t="str">
        <f t="shared" ref="H5:H15" si="1">IF(F5="",H4,H4&amp;", "&amp;G5)</f>
        <v>{"enabled": true, "name": "WMF PermaDur Inspire frying pan Ø 20 cm"</v>
      </c>
      <c r="I5" s="17" t="s">
        <v>102</v>
      </c>
    </row>
    <row r="6" spans="1:9" x14ac:dyDescent="0.3">
      <c r="A6" s="11" t="s">
        <v>53</v>
      </c>
      <c r="B6" s="12" t="s">
        <v>47</v>
      </c>
      <c r="C6" s="12" t="s">
        <v>54</v>
      </c>
      <c r="D6" s="12" t="s">
        <v>49</v>
      </c>
      <c r="E6" s="12" t="s">
        <v>55</v>
      </c>
      <c r="F6" s="30">
        <v>30</v>
      </c>
      <c r="G6" s="23" t="str">
        <f t="shared" si="0"/>
        <v>"currentPrice": 30</v>
      </c>
      <c r="H6" s="23" t="str">
        <f t="shared" si="1"/>
        <v>{"enabled": true, "name": "WMF PermaDur Inspire frying pan Ø 20 cm", "currentPrice": 30</v>
      </c>
      <c r="I6" s="17" t="s">
        <v>102</v>
      </c>
    </row>
    <row r="7" spans="1:9" x14ac:dyDescent="0.3">
      <c r="A7" s="13" t="s">
        <v>56</v>
      </c>
      <c r="B7" s="14" t="s">
        <v>57</v>
      </c>
      <c r="C7" s="14" t="s">
        <v>54</v>
      </c>
      <c r="D7" s="14" t="s">
        <v>49</v>
      </c>
      <c r="E7" s="14" t="s">
        <v>94</v>
      </c>
      <c r="F7" s="30"/>
      <c r="G7" s="23" t="str">
        <f t="shared" si="0"/>
        <v xml:space="preserve">"previousPrice": </v>
      </c>
      <c r="H7" s="23" t="str">
        <f t="shared" si="1"/>
        <v>{"enabled": true, "name": "WMF PermaDur Inspire frying pan Ø 20 cm", "currentPrice": 30</v>
      </c>
      <c r="I7" s="17" t="s">
        <v>102</v>
      </c>
    </row>
    <row r="8" spans="1:9" ht="30" x14ac:dyDescent="0.3">
      <c r="A8" s="11" t="s">
        <v>58</v>
      </c>
      <c r="B8" s="12" t="s">
        <v>47</v>
      </c>
      <c r="C8" s="12" t="s">
        <v>51</v>
      </c>
      <c r="D8" s="12" t="s">
        <v>49</v>
      </c>
      <c r="E8" s="12" t="s">
        <v>59</v>
      </c>
      <c r="F8" s="30" t="s">
        <v>136</v>
      </c>
      <c r="G8" s="23" t="str">
        <f t="shared" si="0"/>
        <v>"categories": "frying-pans"</v>
      </c>
      <c r="H8" s="23" t="str">
        <f t="shared" si="1"/>
        <v>{"enabled": true, "name": "WMF PermaDur Inspire frying pan Ø 20 cm", "currentPrice": 30, "categories": "frying-pans"</v>
      </c>
      <c r="I8" s="17" t="s">
        <v>102</v>
      </c>
    </row>
    <row r="9" spans="1:9" ht="30" x14ac:dyDescent="0.3">
      <c r="A9" s="11" t="s">
        <v>60</v>
      </c>
      <c r="B9" s="12" t="s">
        <v>47</v>
      </c>
      <c r="C9" s="12" t="s">
        <v>61</v>
      </c>
      <c r="D9" s="12" t="s">
        <v>49</v>
      </c>
      <c r="E9" s="12" t="s">
        <v>62</v>
      </c>
      <c r="F9" s="29" t="s">
        <v>134</v>
      </c>
      <c r="G9" s="23" t="str">
        <f t="shared" si="0"/>
        <v>"imageUrls": ["/img/products/cooking/frying-pans/199569/1.jpg", "/img/products/cooking/frying-pans/199569/2.jpg", "/img/products/cooking/frying-pans/199569/3.jpg", "/img/products/cooking/frying-pans/199569/4.jpg"]</v>
      </c>
      <c r="H9"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v>
      </c>
      <c r="I9" s="17" t="s">
        <v>102</v>
      </c>
    </row>
    <row r="10" spans="1:9" x14ac:dyDescent="0.3">
      <c r="A10" s="11" t="s">
        <v>63</v>
      </c>
      <c r="B10" s="12" t="s">
        <v>47</v>
      </c>
      <c r="C10" s="12" t="s">
        <v>54</v>
      </c>
      <c r="D10" s="12" t="s">
        <v>49</v>
      </c>
      <c r="E10" s="12" t="s">
        <v>81</v>
      </c>
      <c r="F10" s="30">
        <v>10</v>
      </c>
      <c r="G10" s="23" t="str">
        <f t="shared" si="0"/>
        <v>"quantity": 10</v>
      </c>
      <c r="H10"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v>
      </c>
      <c r="I10" s="17" t="s">
        <v>102</v>
      </c>
    </row>
    <row r="11" spans="1:9" x14ac:dyDescent="0.3">
      <c r="A11" s="13" t="s">
        <v>64</v>
      </c>
      <c r="B11" s="14" t="s">
        <v>57</v>
      </c>
      <c r="C11" s="14" t="s">
        <v>51</v>
      </c>
      <c r="D11" s="14" t="s">
        <v>49</v>
      </c>
      <c r="E11" s="14" t="s">
        <v>65</v>
      </c>
      <c r="F11" s="30" t="s">
        <v>126</v>
      </c>
      <c r="G11" s="23" t="str">
        <f t="shared" si="0"/>
        <v>"color": "grey"</v>
      </c>
      <c r="H11"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v>
      </c>
      <c r="I11" s="17" t="s">
        <v>102</v>
      </c>
    </row>
    <row r="12" spans="1:9" x14ac:dyDescent="0.3">
      <c r="A12" s="13" t="s">
        <v>67</v>
      </c>
      <c r="B12" s="14" t="s">
        <v>57</v>
      </c>
      <c r="C12" s="14" t="s">
        <v>51</v>
      </c>
      <c r="D12" s="14" t="s">
        <v>49</v>
      </c>
      <c r="E12" s="14" t="s">
        <v>65</v>
      </c>
      <c r="F12" s="31" t="str">
        <f>"/"&amp;SUBSTITUTE(LOWER(F5)," ","-")&amp;"-"&amp;F19</f>
        <v>/wmf-permadur-inspire-frying-pan-ø-20-cm-4000530715272</v>
      </c>
      <c r="G12" s="23" t="str">
        <f t="shared" si="0"/>
        <v>"productUrl": "/wmf-permadur-inspire-frying-pan-ø-20-cm-4000530715272"</v>
      </c>
      <c r="H12"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v>
      </c>
      <c r="I12" s="17" t="s">
        <v>102</v>
      </c>
    </row>
    <row r="13" spans="1:9" x14ac:dyDescent="0.3">
      <c r="A13" s="13" t="s">
        <v>68</v>
      </c>
      <c r="B13" s="14" t="s">
        <v>57</v>
      </c>
      <c r="C13" s="14" t="s">
        <v>51</v>
      </c>
      <c r="D13" s="14" t="s">
        <v>49</v>
      </c>
      <c r="E13" s="14" t="s">
        <v>65</v>
      </c>
      <c r="F13" s="30" t="s">
        <v>4</v>
      </c>
      <c r="G13" s="23" t="str">
        <f t="shared" si="0"/>
        <v>"brand": "WMF"</v>
      </c>
      <c r="H13"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v>
      </c>
      <c r="I13" s="17" t="s">
        <v>102</v>
      </c>
    </row>
    <row r="14" spans="1:9" x14ac:dyDescent="0.3">
      <c r="A14" s="13" t="s">
        <v>69</v>
      </c>
      <c r="B14" s="14" t="s">
        <v>57</v>
      </c>
      <c r="C14" s="14" t="s">
        <v>51</v>
      </c>
      <c r="D14" s="14" t="s">
        <v>49</v>
      </c>
      <c r="E14" s="14" t="s">
        <v>65</v>
      </c>
      <c r="F14" s="30" t="s">
        <v>122</v>
      </c>
      <c r="G14" s="23" t="str">
        <f t="shared" si="0"/>
        <v>"manufacturer": "WMF Corp"</v>
      </c>
      <c r="H14"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v>
      </c>
      <c r="I14" s="17" t="s">
        <v>102</v>
      </c>
    </row>
    <row r="15" spans="1:9" x14ac:dyDescent="0.3">
      <c r="A15" s="13" t="s">
        <v>70</v>
      </c>
      <c r="B15" s="14" t="s">
        <v>57</v>
      </c>
      <c r="C15" s="14" t="s">
        <v>51</v>
      </c>
      <c r="D15" s="14" t="s">
        <v>49</v>
      </c>
      <c r="E15" s="14" t="s">
        <v>65</v>
      </c>
      <c r="F15" s="30" t="s">
        <v>110</v>
      </c>
      <c r="G15" s="23" t="str">
        <f t="shared" si="0"/>
        <v>"manufacturerCountry": "Germany"</v>
      </c>
      <c r="H15" s="23" t="str">
        <f t="shared" si="1"/>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v>
      </c>
      <c r="I15" s="17" t="s">
        <v>102</v>
      </c>
    </row>
    <row r="16" spans="1:9" x14ac:dyDescent="0.3">
      <c r="A16" s="11" t="s">
        <v>71</v>
      </c>
      <c r="B16" s="12" t="s">
        <v>47</v>
      </c>
      <c r="C16" s="12" t="s">
        <v>72</v>
      </c>
      <c r="D16" s="12" t="s">
        <v>73</v>
      </c>
      <c r="E16" s="12" t="s">
        <v>80</v>
      </c>
      <c r="F16" s="32"/>
      <c r="G16" s="8"/>
      <c r="H16" s="8"/>
      <c r="I16" s="17" t="s">
        <v>102</v>
      </c>
    </row>
    <row r="17" spans="1:9" x14ac:dyDescent="0.3">
      <c r="F17" s="33"/>
      <c r="G17" s="8"/>
      <c r="H17" s="8"/>
      <c r="I17" s="17" t="s">
        <v>102</v>
      </c>
    </row>
    <row r="18" spans="1:9" x14ac:dyDescent="0.3">
      <c r="A18" s="9" t="s">
        <v>82</v>
      </c>
      <c r="F18" s="32" t="s">
        <v>99</v>
      </c>
      <c r="G18" s="23" t="s">
        <v>120</v>
      </c>
      <c r="H18" s="23" t="str">
        <f>IF(F18="",H15,H15&amp;G18)</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v>
      </c>
      <c r="I18" s="17" t="s">
        <v>102</v>
      </c>
    </row>
    <row r="19" spans="1:9" x14ac:dyDescent="0.3">
      <c r="A19" s="11" t="s">
        <v>2</v>
      </c>
      <c r="B19" s="12" t="s">
        <v>47</v>
      </c>
      <c r="C19" s="12" t="s">
        <v>54</v>
      </c>
      <c r="D19" s="12" t="s">
        <v>49</v>
      </c>
      <c r="E19" s="12" t="s">
        <v>83</v>
      </c>
      <c r="F19" s="34">
        <v>4000530715272</v>
      </c>
      <c r="G19" s="23" t="str">
        <f t="shared" ref="G19:G38" si="2">IF(C19="String",$B$1&amp;$A19&amp;$B$1&amp;": "&amp;$B$1&amp;$F19&amp;$B$1,$B$1&amp;$A19&amp;$B$1&amp;": "&amp;$F19)</f>
        <v>"EAN": 4000530715272</v>
      </c>
      <c r="H19" s="23" t="str">
        <f>IF(F19="",H18,H18&amp;G19)</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v>
      </c>
      <c r="I19" s="17" t="s">
        <v>102</v>
      </c>
    </row>
    <row r="20" spans="1:9" x14ac:dyDescent="0.3">
      <c r="A20" s="13" t="s">
        <v>88</v>
      </c>
      <c r="B20" s="14" t="s">
        <v>57</v>
      </c>
      <c r="C20" s="14" t="s">
        <v>51</v>
      </c>
      <c r="D20" s="14" t="s">
        <v>49</v>
      </c>
      <c r="E20" s="14"/>
      <c r="F20" s="30" t="s">
        <v>123</v>
      </c>
      <c r="G20" s="23" t="str">
        <f t="shared" si="2"/>
        <v>"collection": "PermaDur Inspire"</v>
      </c>
      <c r="H20" s="23" t="str">
        <f t="shared" ref="H20:H27" si="3">IF(F20="",H19,H19&amp;", "&amp;G20)</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v>
      </c>
      <c r="I20" s="17" t="s">
        <v>102</v>
      </c>
    </row>
    <row r="21" spans="1:9" x14ac:dyDescent="0.3">
      <c r="A21" s="13" t="s">
        <v>87</v>
      </c>
      <c r="B21" s="14" t="s">
        <v>57</v>
      </c>
      <c r="C21" s="14" t="s">
        <v>51</v>
      </c>
      <c r="D21" s="14" t="s">
        <v>49</v>
      </c>
      <c r="E21" s="14"/>
      <c r="F21" s="30" t="s">
        <v>29</v>
      </c>
      <c r="G21" s="23" t="str">
        <f t="shared" si="2"/>
        <v>"material": "Aluminium"</v>
      </c>
      <c r="H21"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v>
      </c>
      <c r="I21" s="17" t="s">
        <v>102</v>
      </c>
    </row>
    <row r="22" spans="1:9" x14ac:dyDescent="0.3">
      <c r="A22" s="13" t="s">
        <v>86</v>
      </c>
      <c r="B22" s="14" t="s">
        <v>57</v>
      </c>
      <c r="C22" s="14" t="s">
        <v>51</v>
      </c>
      <c r="D22" s="14" t="s">
        <v>49</v>
      </c>
      <c r="E22" s="14"/>
      <c r="F22" s="30"/>
      <c r="G22" s="23" t="str">
        <f t="shared" si="2"/>
        <v>"care": ""</v>
      </c>
      <c r="H22"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v>
      </c>
      <c r="I22" s="17" t="s">
        <v>102</v>
      </c>
    </row>
    <row r="23" spans="1:9" ht="30" x14ac:dyDescent="0.3">
      <c r="A23" s="13" t="s">
        <v>66</v>
      </c>
      <c r="B23" s="14" t="s">
        <v>57</v>
      </c>
      <c r="C23" s="14" t="s">
        <v>61</v>
      </c>
      <c r="D23" s="14" t="s">
        <v>49</v>
      </c>
      <c r="E23" s="14" t="s">
        <v>93</v>
      </c>
      <c r="F23" s="30" t="s">
        <v>125</v>
      </c>
      <c r="G23" s="23" t="str">
        <f t="shared" si="2"/>
        <v>"sizes": {"diameter": 20}</v>
      </c>
      <c r="H23"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v>
      </c>
      <c r="I23" s="17" t="s">
        <v>102</v>
      </c>
    </row>
    <row r="24" spans="1:9" x14ac:dyDescent="0.3">
      <c r="A24" s="13" t="s">
        <v>85</v>
      </c>
      <c r="B24" s="14" t="s">
        <v>57</v>
      </c>
      <c r="C24" s="14" t="s">
        <v>54</v>
      </c>
      <c r="D24" s="14" t="s">
        <v>49</v>
      </c>
      <c r="E24" s="14" t="s">
        <v>84</v>
      </c>
      <c r="F24" s="30">
        <v>1</v>
      </c>
      <c r="G24" s="23" t="str">
        <f t="shared" si="2"/>
        <v>"setSize": 1</v>
      </c>
      <c r="H24"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4" s="17" t="s">
        <v>102</v>
      </c>
    </row>
    <row r="25" spans="1:9" x14ac:dyDescent="0.3">
      <c r="A25" s="13" t="s">
        <v>89</v>
      </c>
      <c r="B25" s="14" t="s">
        <v>57</v>
      </c>
      <c r="C25" s="14" t="s">
        <v>54</v>
      </c>
      <c r="D25" s="14" t="s">
        <v>49</v>
      </c>
      <c r="E25" s="14" t="s">
        <v>111</v>
      </c>
      <c r="F25" s="30"/>
      <c r="G25" s="23" t="str">
        <f t="shared" si="2"/>
        <v xml:space="preserve">"capacity": </v>
      </c>
      <c r="H25"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5" s="17" t="s">
        <v>102</v>
      </c>
    </row>
    <row r="26" spans="1:9" x14ac:dyDescent="0.3">
      <c r="A26" s="13" t="s">
        <v>90</v>
      </c>
      <c r="B26" s="14" t="s">
        <v>57</v>
      </c>
      <c r="C26" s="14" t="s">
        <v>54</v>
      </c>
      <c r="D26" s="14" t="s">
        <v>49</v>
      </c>
      <c r="E26" s="14" t="s">
        <v>92</v>
      </c>
      <c r="F26" s="30"/>
      <c r="G26" s="23" t="str">
        <f t="shared" si="2"/>
        <v xml:space="preserve">"power": </v>
      </c>
      <c r="H26"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6" s="17" t="s">
        <v>102</v>
      </c>
    </row>
    <row r="27" spans="1:9" x14ac:dyDescent="0.3">
      <c r="A27" s="13" t="s">
        <v>91</v>
      </c>
      <c r="B27" s="14" t="s">
        <v>57</v>
      </c>
      <c r="C27" s="14" t="s">
        <v>54</v>
      </c>
      <c r="D27" s="14" t="s">
        <v>49</v>
      </c>
      <c r="E27" s="14" t="s">
        <v>92</v>
      </c>
      <c r="F27" s="30"/>
      <c r="G27" s="23" t="str">
        <f t="shared" si="2"/>
        <v xml:space="preserve">"voltage": </v>
      </c>
      <c r="H27" s="23" t="str">
        <f t="shared" si="3"/>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7" s="17" t="s">
        <v>102</v>
      </c>
    </row>
    <row r="28" spans="1:9" x14ac:dyDescent="0.3">
      <c r="A28" s="13" t="s">
        <v>112</v>
      </c>
      <c r="B28" s="14" t="s">
        <v>57</v>
      </c>
      <c r="C28" s="28" t="s">
        <v>48</v>
      </c>
      <c r="D28" s="14" t="s">
        <v>49</v>
      </c>
      <c r="E28" s="14"/>
      <c r="F28" s="29" t="s">
        <v>127</v>
      </c>
      <c r="G28" s="23" t="str">
        <f t="shared" si="2"/>
        <v>"inPromo": false</v>
      </c>
      <c r="H28" s="23" t="str">
        <f t="shared" ref="H28:H37" si="4">IF(F28="",H27,H27&amp;", "&amp;G28)</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v>
      </c>
      <c r="I28" s="17" t="s">
        <v>102</v>
      </c>
    </row>
    <row r="29" spans="1:9" x14ac:dyDescent="0.3">
      <c r="A29" s="13" t="s">
        <v>113</v>
      </c>
      <c r="B29" s="14" t="s">
        <v>57</v>
      </c>
      <c r="C29" s="28" t="s">
        <v>61</v>
      </c>
      <c r="D29" s="14" t="s">
        <v>49</v>
      </c>
      <c r="E29" s="14"/>
      <c r="F29" s="30"/>
      <c r="G29" s="23" t="str">
        <f t="shared" si="2"/>
        <v xml:space="preserve">"similarProducts": </v>
      </c>
      <c r="H29"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v>
      </c>
      <c r="I29" s="17" t="s">
        <v>102</v>
      </c>
    </row>
    <row r="30" spans="1:9" x14ac:dyDescent="0.3">
      <c r="A30" s="13" t="s">
        <v>114</v>
      </c>
      <c r="B30" s="14" t="s">
        <v>57</v>
      </c>
      <c r="C30" s="28" t="s">
        <v>61</v>
      </c>
      <c r="D30" s="14" t="s">
        <v>49</v>
      </c>
      <c r="E30" s="14"/>
      <c r="F30" s="30"/>
      <c r="G30" s="23" t="str">
        <f t="shared" si="2"/>
        <v xml:space="preserve">"crossSellingProducts": </v>
      </c>
      <c r="H30"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v>
      </c>
      <c r="I30" s="17" t="s">
        <v>102</v>
      </c>
    </row>
    <row r="31" spans="1:9" x14ac:dyDescent="0.3">
      <c r="A31" s="28" t="s">
        <v>115</v>
      </c>
      <c r="B31" s="14" t="s">
        <v>57</v>
      </c>
      <c r="C31" s="28" t="s">
        <v>48</v>
      </c>
      <c r="D31" s="14" t="s">
        <v>49</v>
      </c>
      <c r="E31" s="14"/>
      <c r="F31" s="29" t="s">
        <v>127</v>
      </c>
      <c r="G31" s="23" t="str">
        <f t="shared" si="2"/>
        <v>"fragile": false</v>
      </c>
      <c r="H31"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v>
      </c>
      <c r="I31" s="17" t="s">
        <v>102</v>
      </c>
    </row>
    <row r="32" spans="1:9" x14ac:dyDescent="0.3">
      <c r="A32" s="28" t="s">
        <v>116</v>
      </c>
      <c r="B32" s="14" t="s">
        <v>57</v>
      </c>
      <c r="C32" s="28" t="s">
        <v>54</v>
      </c>
      <c r="D32" s="14" t="s">
        <v>49</v>
      </c>
      <c r="E32" s="14"/>
      <c r="F32" s="30"/>
      <c r="G32" s="23" t="str">
        <f t="shared" si="2"/>
        <v xml:space="preserve">"rating": </v>
      </c>
      <c r="H32"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v>
      </c>
      <c r="I32" s="17" t="s">
        <v>102</v>
      </c>
    </row>
    <row r="33" spans="1:9" x14ac:dyDescent="0.3">
      <c r="A33" s="28" t="s">
        <v>117</v>
      </c>
      <c r="B33" s="14" t="s">
        <v>57</v>
      </c>
      <c r="C33" s="28" t="s">
        <v>51</v>
      </c>
      <c r="D33" s="14" t="s">
        <v>49</v>
      </c>
      <c r="E33" s="14"/>
      <c r="F33" s="30" t="s">
        <v>128</v>
      </c>
      <c r="G33" s="23" t="str">
        <f t="shared" si="2"/>
        <v>"status": "active"</v>
      </c>
      <c r="H33"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v>
      </c>
      <c r="I33" s="17" t="s">
        <v>102</v>
      </c>
    </row>
    <row r="34" spans="1:9" x14ac:dyDescent="0.3">
      <c r="A34" s="28" t="s">
        <v>131</v>
      </c>
      <c r="B34" s="14" t="s">
        <v>57</v>
      </c>
      <c r="C34" s="28" t="s">
        <v>51</v>
      </c>
      <c r="D34" s="14" t="s">
        <v>49</v>
      </c>
      <c r="E34" s="14"/>
      <c r="F34" s="30" t="s">
        <v>133</v>
      </c>
      <c r="G34" s="23" t="str">
        <f t="shared" ref="G34:G35" si="5">IF(C34="String",$B$1&amp;$A34&amp;$B$1&amp;": "&amp;$B$1&amp;$F34&amp;$B$1,$B$1&amp;$A34&amp;$B$1&amp;": "&amp;$F34)</f>
        <v>"stoveType": "glass-ceramic, gas, electric and induction stoves"</v>
      </c>
      <c r="H34" s="23" t="str">
        <f t="shared" ref="H34" si="6">IF(F34="",H33,H33&amp;", "&amp;G34)</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"stoveType": "glass-ceramic, gas, electric and induction stoves"</v>
      </c>
      <c r="I34" s="17" t="s">
        <v>102</v>
      </c>
    </row>
    <row r="35" spans="1:9" x14ac:dyDescent="0.3">
      <c r="A35" s="28" t="s">
        <v>132</v>
      </c>
      <c r="B35" s="14" t="s">
        <v>57</v>
      </c>
      <c r="C35" s="28" t="s">
        <v>51</v>
      </c>
      <c r="D35" s="14" t="s">
        <v>49</v>
      </c>
      <c r="E35" s="14"/>
      <c r="F35" s="29" t="s">
        <v>101</v>
      </c>
      <c r="G35" s="23" t="str">
        <f t="shared" si="5"/>
        <v>"inductionCompatibale": "true"</v>
      </c>
      <c r="H35" s="23" t="str">
        <f>IF(F35="",H34,H34&amp;", "&amp;G35)</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"stoveType": "glass-ceramic, gas, electric and induction stoves", "inductionCompatibale": "true"</v>
      </c>
      <c r="I35" s="17" t="s">
        <v>102</v>
      </c>
    </row>
    <row r="36" spans="1:9" x14ac:dyDescent="0.3">
      <c r="A36" s="28" t="s">
        <v>118</v>
      </c>
      <c r="B36" s="14" t="s">
        <v>57</v>
      </c>
      <c r="C36" s="28" t="s">
        <v>51</v>
      </c>
      <c r="D36" s="14" t="s">
        <v>49</v>
      </c>
      <c r="E36" s="14"/>
      <c r="F36" s="30" t="s">
        <v>124</v>
      </c>
      <c r="G36" s="23" t="str">
        <f t="shared" si="2"/>
        <v>"buildingMaterial": "Kunststoff"</v>
      </c>
      <c r="H36" s="23" t="str">
        <f>IF(F36="",H33,H33&amp;", "&amp;G36)</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"buildingMaterial": "Kunststoff"</v>
      </c>
      <c r="I36" s="17" t="s">
        <v>102</v>
      </c>
    </row>
    <row r="37" spans="1:9" x14ac:dyDescent="0.3">
      <c r="A37" s="28" t="s">
        <v>119</v>
      </c>
      <c r="B37" s="14" t="s">
        <v>57</v>
      </c>
      <c r="C37" s="14" t="s">
        <v>61</v>
      </c>
      <c r="D37" s="14" t="s">
        <v>49</v>
      </c>
      <c r="E37" s="14"/>
      <c r="F37" s="29" t="s">
        <v>130</v>
      </c>
      <c r="G37" s="23" t="str">
        <f t="shared" si="2"/>
        <v>"productHighlights": ["3-layer PermaDur non-stick coating, PFOA free", "Aluminium base, suitable for induction", "wide pouring rim for pour out liquids without drips", "plastic handle with flame guard", "Easy to clean"]</v>
      </c>
      <c r="H37" s="23" t="str">
        <f t="shared" si="4"/>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"buildingMaterial": "Kunststoff", "productHighlights": ["3-layer PermaDur non-stick coating, PFOA free", "Aluminium base, suitable for induction", "wide pouring rim for pour out liquids without drips", "plastic handle with flame guard", "Easy to clean"]</v>
      </c>
      <c r="I37" s="17" t="s">
        <v>102</v>
      </c>
    </row>
    <row r="38" spans="1:9" ht="63.6" customHeight="1" x14ac:dyDescent="0.3">
      <c r="A38" s="13" t="s">
        <v>107</v>
      </c>
      <c r="B38" s="14" t="s">
        <v>57</v>
      </c>
      <c r="C38" s="14" t="s">
        <v>61</v>
      </c>
      <c r="D38" s="14" t="s">
        <v>49</v>
      </c>
      <c r="E38" s="14"/>
      <c r="F38" s="29" t="s">
        <v>129</v>
      </c>
      <c r="G38" s="23" t="str">
        <f t="shared" si="2"/>
        <v>"productDescription":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v>
      </c>
      <c r="H38" s="23" t="str">
        <f>IF(F38="",H37,H37&amp;", "&amp;G38)</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v>
      </c>
      <c r="I38" s="17" t="s">
        <v>102</v>
      </c>
    </row>
    <row r="39" spans="1:9" x14ac:dyDescent="0.3">
      <c r="F39" s="32" t="s">
        <v>99</v>
      </c>
      <c r="G39" s="23" t="s">
        <v>100</v>
      </c>
      <c r="H39" s="23" t="str">
        <f>IF(F39="",H38,H38&amp;G39)</f>
        <v>{"enabled": true, "name": "WMF PermaDur Inspire frying pan Ø 20 cm", "currentPrice": 30, "categories": "frying-pans",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"inPromo": false,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 }</v>
      </c>
      <c r="I39" s="17" t="s">
        <v>102</v>
      </c>
    </row>
    <row r="40" spans="1:9" x14ac:dyDescent="0.3">
      <c r="H40" s="8"/>
      <c r="I40" s="17"/>
    </row>
    <row r="41" spans="1:9" ht="73.8" customHeight="1" thickBot="1" x14ac:dyDescent="0.35">
      <c r="G41" s="18"/>
      <c r="H41" s="21" t="s">
        <v>105</v>
      </c>
      <c r="I41" s="17" t="s">
        <v>102</v>
      </c>
    </row>
    <row r="42" spans="1:9" ht="104.4" customHeight="1" thickTop="1" thickBot="1" x14ac:dyDescent="0.35">
      <c r="G42" s="15" t="s">
        <v>106</v>
      </c>
      <c r="H42" s="22" t="s">
        <v>135</v>
      </c>
      <c r="I42" s="17" t="s">
        <v>102</v>
      </c>
    </row>
    <row r="43" spans="1:9" ht="16.2" thickTop="1" x14ac:dyDescent="0.3"/>
  </sheetData>
  <dataValidations count="2">
    <dataValidation type="list" allowBlank="1" showInputMessage="1" showErrorMessage="1" sqref="F33" xr:uid="{7DCB4AAF-3AF3-4F94-A6D3-7988B95D8B88}">
      <formula1>"active, selout, seasonal, blocked"</formula1>
    </dataValidation>
    <dataValidation type="list" allowBlank="1" showInputMessage="1" showErrorMessage="1" sqref="F31 F4 F28 F35" xr:uid="{D6A744A8-5A72-48C3-9E10-6F77FB00FDFF}">
      <formula1>"'true, 'false"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Format_data">
                <anchor moveWithCells="1" sizeWithCells="1">
                  <from>
                    <xdr:col>6</xdr:col>
                    <xdr:colOff>99060</xdr:colOff>
                    <xdr:row>40</xdr:row>
                    <xdr:rowOff>60960</xdr:rowOff>
                  </from>
                  <to>
                    <xdr:col>6</xdr:col>
                    <xdr:colOff>1219200</xdr:colOff>
                    <xdr:row>40</xdr:row>
                    <xdr:rowOff>891540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Межерицкий Владислав</cp:lastModifiedBy>
  <dcterms:created xsi:type="dcterms:W3CDTF">2020-01-09T09:24:19Z</dcterms:created>
  <dcterms:modified xsi:type="dcterms:W3CDTF">2020-01-13T22:22:04Z</dcterms:modified>
</cp:coreProperties>
</file>